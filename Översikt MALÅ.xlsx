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46286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Gammelgransskål</t>
        </is>
      </c>
      <c r="W6">
        <f>HYPERLINK("https://klasma.github.io/Logging_2418/artfynd/A 52129-2024 artfynd.xlsx", "A 52129-2024")</f>
        <v/>
      </c>
      <c r="X6">
        <f>HYPERLINK("https://klasma.github.io/Logging_2418/kartor/A 52129-2024 karta.png", "A 52129-2024")</f>
        <v/>
      </c>
      <c r="Y6">
        <f>HYPERLINK("https://klasma.github.io/Logging_2418/kartor_geotiff/A 52129-2024 georefererad karta.tif", "A 52129-2024")</f>
        <v/>
      </c>
      <c r="AA6">
        <f>HYPERLINK("https://klasma.github.io/Logging_2418/klagomål/A 52129-2024 FSC-klagomål.docx", "A 52129-2024")</f>
        <v/>
      </c>
      <c r="AB6">
        <f>HYPERLINK("https://klasma.github.io/Logging_2418/klagomålsmail/A 52129-2024 FSC-klagomål mail.docx", "A 52129-2024")</f>
        <v/>
      </c>
      <c r="AC6">
        <f>HYPERLINK("https://klasma.github.io/Logging_2418/tillsyn/A 52129-2024 tillsynsbegäran.docx", "A 52129-2024")</f>
        <v/>
      </c>
      <c r="AD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46286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46286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46286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46286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46286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46286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46286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46286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46286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46286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15857-2023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45022</v>
      </c>
      <c r="E21" s="1" t="n">
        <v>46286</v>
      </c>
      <c r="F21" t="inlineStr">
        <is>
          <t>VÄSTERBOTTENS LÄN</t>
        </is>
      </c>
      <c r="G21" t="inlineStr">
        <is>
          <t>MALÅ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46286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46286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60168-2024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46286</v>
      </c>
      <c r="F24" t="inlineStr">
        <is>
          <t>VÄSTERBOTTENS LÄN</t>
        </is>
      </c>
      <c r="G24" t="inlineStr">
        <is>
          <t>MALÅ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45158</v>
      </c>
      <c r="E25" s="1" t="n">
        <v>46286</v>
      </c>
      <c r="F25" t="inlineStr">
        <is>
          <t>VÄSTERBOTTENS LÄN</t>
        </is>
      </c>
      <c r="G25" t="inlineStr">
        <is>
          <t>MALÅ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46286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46063-2023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46286</v>
      </c>
      <c r="F27" t="inlineStr">
        <is>
          <t>VÄSTERBOTTENS LÄN</t>
        </is>
      </c>
      <c r="G27" t="inlineStr">
        <is>
          <t>MALÅ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46286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45195</v>
      </c>
      <c r="E29" s="1" t="n">
        <v>46286</v>
      </c>
      <c r="F29" t="inlineStr">
        <is>
          <t>VÄSTERBOTTENS LÄN</t>
        </is>
      </c>
      <c r="G29" t="inlineStr">
        <is>
          <t>MALÅ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46286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46286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46286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11.5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46286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46286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46286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68036-2021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46286</v>
      </c>
      <c r="F36" t="inlineStr">
        <is>
          <t>VÄSTERBOTTENS LÄN</t>
        </is>
      </c>
      <c r="G36" t="inlineStr">
        <is>
          <t>MALÅ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46286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59561-2024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46286</v>
      </c>
      <c r="F38" t="inlineStr">
        <is>
          <t>VÄSTERBOTTENS LÄN</t>
        </is>
      </c>
      <c r="G38" t="inlineStr">
        <is>
          <t>MALÅ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46286</v>
      </c>
      <c r="F39" t="inlineStr">
        <is>
          <t>VÄSTERBOTTENS LÄN</t>
        </is>
      </c>
      <c r="G39" t="inlineStr">
        <is>
          <t>MALÅ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46286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46286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20234-2023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46286</v>
      </c>
      <c r="F42" t="inlineStr">
        <is>
          <t>VÄSTERBOTTENS LÄN</t>
        </is>
      </c>
      <c r="G42" t="inlineStr">
        <is>
          <t>MALÅ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46286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46286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45022</v>
      </c>
      <c r="E45" s="1" t="n">
        <v>46286</v>
      </c>
      <c r="F45" t="inlineStr">
        <is>
          <t>VÄSTERBOTTENS LÄN</t>
        </is>
      </c>
      <c r="G45" t="inlineStr">
        <is>
          <t>MALÅ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46286</v>
      </c>
      <c r="F46" t="inlineStr">
        <is>
          <t>VÄSTERBOTTENS LÄN</t>
        </is>
      </c>
      <c r="G46" t="inlineStr">
        <is>
          <t>MALÅ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46286</v>
      </c>
      <c r="F47" t="inlineStr">
        <is>
          <t>VÄSTERBOTTENS LÄN</t>
        </is>
      </c>
      <c r="G47" t="inlineStr">
        <is>
          <t>MALÅ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46286</v>
      </c>
      <c r="F48" t="inlineStr">
        <is>
          <t>VÄSTERBOTTENS LÄN</t>
        </is>
      </c>
      <c r="G48" t="inlineStr">
        <is>
          <t>MALÅ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53256-2023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46286</v>
      </c>
      <c r="F49" t="inlineStr">
        <is>
          <t>VÄSTERBOTTENS LÄN</t>
        </is>
      </c>
      <c r="G49" t="inlineStr">
        <is>
          <t>MALÅ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45227</v>
      </c>
      <c r="E50" s="1" t="n">
        <v>46286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46286</v>
      </c>
      <c r="F51" t="inlineStr">
        <is>
          <t>VÄSTERBOTTENS LÄN</t>
        </is>
      </c>
      <c r="G51" t="inlineStr">
        <is>
          <t>MALÅ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45179</v>
      </c>
      <c r="E52" s="1" t="n">
        <v>46286</v>
      </c>
      <c r="F52" t="inlineStr">
        <is>
          <t>VÄSTERBOTTENS LÄN</t>
        </is>
      </c>
      <c r="G52" t="inlineStr">
        <is>
          <t>MALÅ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46286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46286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46286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46286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44426-2023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45188</v>
      </c>
      <c r="E57" s="1" t="n">
        <v>46286</v>
      </c>
      <c r="F57" t="inlineStr">
        <is>
          <t>VÄSTERBOTTENS LÄN</t>
        </is>
      </c>
      <c r="G57" t="inlineStr">
        <is>
          <t>MALÅ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58240-2022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46286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46286</v>
      </c>
      <c r="F59" t="inlineStr">
        <is>
          <t>VÄSTERBOTTENS LÄN</t>
        </is>
      </c>
      <c r="G59" t="inlineStr">
        <is>
          <t>MALÅ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45178</v>
      </c>
      <c r="E60" s="1" t="n">
        <v>46286</v>
      </c>
      <c r="F60" t="inlineStr">
        <is>
          <t>VÄSTERBOTTENS LÄN</t>
        </is>
      </c>
      <c r="G60" t="inlineStr">
        <is>
          <t>MALÅ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46286</v>
      </c>
      <c r="F61" t="inlineStr">
        <is>
          <t>VÄSTERBOTTENS LÄN</t>
        </is>
      </c>
      <c r="G61" t="inlineStr">
        <is>
          <t>MALÅ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46286</v>
      </c>
      <c r="F62" t="inlineStr">
        <is>
          <t>VÄSTERBOTTENS LÄN</t>
        </is>
      </c>
      <c r="G62" t="inlineStr">
        <is>
          <t>MALÅ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46286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46286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46286</v>
      </c>
      <c r="F65" t="inlineStr">
        <is>
          <t>VÄSTERBOTTENS LÄN</t>
        </is>
      </c>
      <c r="G65" t="inlineStr">
        <is>
          <t>MALÅ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46286</v>
      </c>
      <c r="F66" t="inlineStr">
        <is>
          <t>VÄSTERBOTTENS LÄN</t>
        </is>
      </c>
      <c r="G66" t="inlineStr">
        <is>
          <t>MALÅ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46286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46286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46286</v>
      </c>
      <c r="F69" t="inlineStr">
        <is>
          <t>VÄSTERBOTTENS LÄN</t>
        </is>
      </c>
      <c r="G69" t="inlineStr">
        <is>
          <t>MALÅ</t>
        </is>
      </c>
      <c r="I69" t="n">
        <v>10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46286</v>
      </c>
      <c r="F70" t="inlineStr">
        <is>
          <t>VÄSTERBOTTENS LÄN</t>
        </is>
      </c>
      <c r="G70" t="inlineStr">
        <is>
          <t>MALÅ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46286</v>
      </c>
      <c r="F71" t="inlineStr">
        <is>
          <t>VÄSTERBOTTENS LÄN</t>
        </is>
      </c>
      <c r="G71" t="inlineStr">
        <is>
          <t>MALÅ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46286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46286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46286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46286</v>
      </c>
      <c r="F75" t="inlineStr">
        <is>
          <t>VÄSTERBOTTENS LÄN</t>
        </is>
      </c>
      <c r="G75" t="inlineStr">
        <is>
          <t>MALÅ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46286</v>
      </c>
      <c r="F76" t="inlineStr">
        <is>
          <t>VÄSTERBOTTENS LÄN</t>
        </is>
      </c>
      <c r="G76" t="inlineStr">
        <is>
          <t>MALÅ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46286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46286</v>
      </c>
      <c r="F78" t="inlineStr">
        <is>
          <t>VÄSTERBOTTENS LÄN</t>
        </is>
      </c>
      <c r="G78" t="inlineStr">
        <is>
          <t>MALÅ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46286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46286</v>
      </c>
      <c r="F80" t="inlineStr">
        <is>
          <t>VÄSTERBOTTENS LÄN</t>
        </is>
      </c>
      <c r="G80" t="inlineStr">
        <is>
          <t>MALÅ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46286</v>
      </c>
      <c r="F81" t="inlineStr">
        <is>
          <t>VÄSTERBOTTENS LÄN</t>
        </is>
      </c>
      <c r="G81" t="inlineStr">
        <is>
          <t>MALÅ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45178</v>
      </c>
      <c r="E82" s="1" t="n">
        <v>46286</v>
      </c>
      <c r="F82" t="inlineStr">
        <is>
          <t>VÄSTERBOTTENS LÄN</t>
        </is>
      </c>
      <c r="G82" t="inlineStr">
        <is>
          <t>MALÅ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46286</v>
      </c>
      <c r="F83" t="inlineStr">
        <is>
          <t>VÄSTERBOTTENS LÄN</t>
        </is>
      </c>
      <c r="G83" t="inlineStr">
        <is>
          <t>MALÅ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45158</v>
      </c>
      <c r="E84" s="1" t="n">
        <v>46286</v>
      </c>
      <c r="F84" t="inlineStr">
        <is>
          <t>VÄSTERBOTTENS LÄN</t>
        </is>
      </c>
      <c r="G84" t="inlineStr">
        <is>
          <t>MALÅ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46286</v>
      </c>
      <c r="F85" t="inlineStr">
        <is>
          <t>VÄSTERBOTTENS LÄN</t>
        </is>
      </c>
      <c r="G85" t="inlineStr">
        <is>
          <t>MALÅ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45152</v>
      </c>
      <c r="E86" s="1" t="n">
        <v>46286</v>
      </c>
      <c r="F86" t="inlineStr">
        <is>
          <t>VÄSTERBOTTENS LÄN</t>
        </is>
      </c>
      <c r="G86" t="inlineStr">
        <is>
          <t>MALÅ</t>
        </is>
      </c>
      <c r="I86" t="n">
        <v>41.7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46286</v>
      </c>
      <c r="F87" t="inlineStr">
        <is>
          <t>VÄSTERBOTTENS LÄN</t>
        </is>
      </c>
      <c r="G87" t="inlineStr">
        <is>
          <t>MALÅ</t>
        </is>
      </c>
      <c r="I87" t="n">
        <v>16.2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46286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46286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46286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46286</v>
      </c>
      <c r="F91" t="inlineStr">
        <is>
          <t>VÄSTERBOTTENS LÄN</t>
        </is>
      </c>
      <c r="G91" t="inlineStr">
        <is>
          <t>MALÅ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46286</v>
      </c>
      <c r="F92" t="inlineStr">
        <is>
          <t>VÄSTERBOTTENS LÄN</t>
        </is>
      </c>
      <c r="G92" t="inlineStr">
        <is>
          <t>MALÅ</t>
        </is>
      </c>
      <c r="H92" t="inlineStr">
        <is>
          <t>Kyrkan</t>
        </is>
      </c>
      <c r="I92" t="n">
        <v>84.5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31088-2024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45502</v>
      </c>
      <c r="E93" s="1" t="n">
        <v>46286</v>
      </c>
      <c r="F93" t="inlineStr">
        <is>
          <t>VÄSTERBOTTENS LÄN</t>
        </is>
      </c>
      <c r="G93" t="inlineStr">
        <is>
          <t>MALÅ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45154</v>
      </c>
      <c r="E94" s="1" t="n">
        <v>46286</v>
      </c>
      <c r="F94" t="inlineStr">
        <is>
          <t>VÄSTERBOTTENS LÄN</t>
        </is>
      </c>
      <c r="G94" t="inlineStr">
        <is>
          <t>MALÅ</t>
        </is>
      </c>
      <c r="I94" t="n">
        <v>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46286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46286</v>
      </c>
      <c r="F96" t="inlineStr">
        <is>
          <t>VÄSTERBOTTENS LÄN</t>
        </is>
      </c>
      <c r="G96" t="inlineStr">
        <is>
          <t>MALÅ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40943-2025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45897</v>
      </c>
      <c r="E97" s="1" t="n">
        <v>46286</v>
      </c>
      <c r="F97" t="inlineStr">
        <is>
          <t>VÄSTERBOTTENS LÄN</t>
        </is>
      </c>
      <c r="G97" t="inlineStr">
        <is>
          <t>MALÅ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46286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22.4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46286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46286</v>
      </c>
      <c r="F100" t="inlineStr">
        <is>
          <t>VÄSTERBOTTENS LÄN</t>
        </is>
      </c>
      <c r="G100" t="inlineStr">
        <is>
          <t>MALÅ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46286</v>
      </c>
      <c r="F101" t="inlineStr">
        <is>
          <t>VÄSTERBOTTENS LÄN</t>
        </is>
      </c>
      <c r="G101" t="inlineStr">
        <is>
          <t>MALÅ</t>
        </is>
      </c>
      <c r="I101" t="n">
        <v>73.7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46286</v>
      </c>
      <c r="F102" t="inlineStr">
        <is>
          <t>VÄSTERBOTTENS LÄN</t>
        </is>
      </c>
      <c r="G102" t="inlineStr">
        <is>
          <t>MALÅ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46286</v>
      </c>
      <c r="F103" t="inlineStr">
        <is>
          <t>VÄSTERBOTTENS LÄN</t>
        </is>
      </c>
      <c r="G103" t="inlineStr">
        <is>
          <t>MALÅ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46286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46286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18.2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46286</v>
      </c>
      <c r="F106" t="inlineStr">
        <is>
          <t>VÄSTERBOTTENS LÄN</t>
        </is>
      </c>
      <c r="G106" t="inlineStr">
        <is>
          <t>MALÅ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45714</v>
      </c>
      <c r="E107" s="1" t="n">
        <v>46286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18.7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54463-2023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46286</v>
      </c>
      <c r="F108" t="inlineStr">
        <is>
          <t>VÄSTERBOTTENS LÄN</t>
        </is>
      </c>
      <c r="G108" t="inlineStr">
        <is>
          <t>MALÅ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46286</v>
      </c>
      <c r="F109" t="inlineStr">
        <is>
          <t>VÄSTERBOTTENS LÄN</t>
        </is>
      </c>
      <c r="G109" t="inlineStr">
        <is>
          <t>MALÅ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46286</v>
      </c>
      <c r="F110" t="inlineStr">
        <is>
          <t>VÄSTERBOTTENS LÄN</t>
        </is>
      </c>
      <c r="G110" t="inlineStr">
        <is>
          <t>MALÅ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46286</v>
      </c>
      <c r="F111" t="inlineStr">
        <is>
          <t>VÄSTERBOTTENS LÄN</t>
        </is>
      </c>
      <c r="G111" t="inlineStr">
        <is>
          <t>MALÅ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46286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46286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46286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46286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46286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46286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46286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45176</v>
      </c>
      <c r="E119" s="1" t="n">
        <v>46286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45149</v>
      </c>
      <c r="E120" s="1" t="n">
        <v>46286</v>
      </c>
      <c r="F120" t="inlineStr">
        <is>
          <t>VÄSTERBOTTENS LÄN</t>
        </is>
      </c>
      <c r="G120" t="inlineStr">
        <is>
          <t>MALÅ</t>
        </is>
      </c>
      <c r="I120" t="n">
        <v>147.1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45190</v>
      </c>
      <c r="E121" s="1" t="n">
        <v>46286</v>
      </c>
      <c r="F121" t="inlineStr">
        <is>
          <t>VÄSTERBOTTENS LÄN</t>
        </is>
      </c>
      <c r="G121" t="inlineStr">
        <is>
          <t>MALÅ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46286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46286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46286</v>
      </c>
      <c r="F124" t="inlineStr">
        <is>
          <t>VÄSTERBOTTENS LÄN</t>
        </is>
      </c>
      <c r="G124" t="inlineStr">
        <is>
          <t>MALÅ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46286</v>
      </c>
      <c r="F125" t="inlineStr">
        <is>
          <t>VÄSTERBOTTENS LÄN</t>
        </is>
      </c>
      <c r="G125" t="inlineStr">
        <is>
          <t>MALÅ</t>
        </is>
      </c>
      <c r="I125" t="n">
        <v>15.7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46286</v>
      </c>
      <c r="F126" t="inlineStr">
        <is>
          <t>VÄSTERBOTTENS LÄN</t>
        </is>
      </c>
      <c r="G126" t="inlineStr">
        <is>
          <t>MALÅ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46286</v>
      </c>
      <c r="F127" t="inlineStr">
        <is>
          <t>VÄSTERBOTTENS LÄN</t>
        </is>
      </c>
      <c r="G127" t="inlineStr">
        <is>
          <t>MALÅ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46286</v>
      </c>
      <c r="F128" t="inlineStr">
        <is>
          <t>VÄSTERBOTTENS LÄN</t>
        </is>
      </c>
      <c r="G128" t="inlineStr">
        <is>
          <t>MALÅ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46286</v>
      </c>
      <c r="F129" t="inlineStr">
        <is>
          <t>VÄSTERBOTTENS LÄN</t>
        </is>
      </c>
      <c r="G129" t="inlineStr">
        <is>
          <t>MALÅ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46286</v>
      </c>
      <c r="F130" t="inlineStr">
        <is>
          <t>VÄSTERBOTTENS LÄN</t>
        </is>
      </c>
      <c r="G130" t="inlineStr">
        <is>
          <t>MALÅ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46286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46286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46286</v>
      </c>
      <c r="F133" t="inlineStr">
        <is>
          <t>VÄSTERBOTTENS LÄN</t>
        </is>
      </c>
      <c r="G133" t="inlineStr">
        <is>
          <t>MALÅ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46286</v>
      </c>
      <c r="F134" t="inlineStr">
        <is>
          <t>VÄSTERBOTTENS LÄN</t>
        </is>
      </c>
      <c r="G134" t="inlineStr">
        <is>
          <t>MALÅ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46286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46286</v>
      </c>
      <c r="F136" t="inlineStr">
        <is>
          <t>VÄSTERBOTTENS LÄN</t>
        </is>
      </c>
      <c r="G136" t="inlineStr">
        <is>
          <t>MALÅ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46286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45964</v>
      </c>
      <c r="E138" s="1" t="n">
        <v>46286</v>
      </c>
      <c r="F138" t="inlineStr">
        <is>
          <t>VÄSTERBOTTENS LÄN</t>
        </is>
      </c>
      <c r="G138" t="inlineStr">
        <is>
          <t>MALÅ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46286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46286</v>
      </c>
      <c r="F140" t="inlineStr">
        <is>
          <t>VÄSTERBOTTENS LÄN</t>
        </is>
      </c>
      <c r="G140" t="inlineStr">
        <is>
          <t>MALÅ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46286</v>
      </c>
      <c r="F141" t="inlineStr">
        <is>
          <t>VÄSTERBOTTENS LÄN</t>
        </is>
      </c>
      <c r="G141" t="inlineStr">
        <is>
          <t>MALÅ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46286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46286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46286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46286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46286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46286</v>
      </c>
      <c r="F147" t="inlineStr">
        <is>
          <t>VÄSTERBOTTENS LÄN</t>
        </is>
      </c>
      <c r="G147" t="inlineStr">
        <is>
          <t>MALÅ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46286</v>
      </c>
      <c r="F148" t="inlineStr">
        <is>
          <t>VÄSTERBOTTENS LÄN</t>
        </is>
      </c>
      <c r="G148" t="inlineStr">
        <is>
          <t>MALÅ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44575</v>
      </c>
      <c r="E149" s="1" t="n">
        <v>46286</v>
      </c>
      <c r="F149" t="inlineStr">
        <is>
          <t>VÄSTERBOTTENS LÄN</t>
        </is>
      </c>
      <c r="G149" t="inlineStr">
        <is>
          <t>MALÅ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46286</v>
      </c>
      <c r="F150" t="inlineStr">
        <is>
          <t>VÄSTERBOTTENS LÄN</t>
        </is>
      </c>
      <c r="G150" t="inlineStr">
        <is>
          <t>MALÅ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46377-2023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45193</v>
      </c>
      <c r="E151" s="1" t="n">
        <v>46286</v>
      </c>
      <c r="F151" t="inlineStr">
        <is>
          <t>VÄSTERBOTTENS LÄN</t>
        </is>
      </c>
      <c r="G151" t="inlineStr">
        <is>
          <t>MALÅ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45193</v>
      </c>
      <c r="E152" s="1" t="n">
        <v>46286</v>
      </c>
      <c r="F152" t="inlineStr">
        <is>
          <t>VÄSTERBOTTENS LÄN</t>
        </is>
      </c>
      <c r="G152" t="inlineStr">
        <is>
          <t>MALÅ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46286</v>
      </c>
      <c r="F153" t="inlineStr">
        <is>
          <t>VÄSTERBOTTENS LÄN</t>
        </is>
      </c>
      <c r="G153" t="inlineStr">
        <is>
          <t>MALÅ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45384</v>
      </c>
      <c r="E154" s="1" t="n">
        <v>46286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45504</v>
      </c>
      <c r="E155" s="1" t="n">
        <v>46286</v>
      </c>
      <c r="F155" t="inlineStr">
        <is>
          <t>VÄSTERBOTTENS LÄN</t>
        </is>
      </c>
      <c r="G155" t="inlineStr">
        <is>
          <t>MALÅ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49226-2024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46286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46286</v>
      </c>
      <c r="F157" t="inlineStr">
        <is>
          <t>VÄSTERBOTTENS LÄN</t>
        </is>
      </c>
      <c r="G157" t="inlineStr">
        <is>
          <t>MALÅ</t>
        </is>
      </c>
      <c r="I157" t="n">
        <v>26.3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46286</v>
      </c>
      <c r="F158" t="inlineStr">
        <is>
          <t>VÄSTERBOTTENS LÄN</t>
        </is>
      </c>
      <c r="G158" t="inlineStr">
        <is>
          <t>MALÅ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46286</v>
      </c>
      <c r="F159" t="inlineStr">
        <is>
          <t>VÄSTERBOTTENS LÄN</t>
        </is>
      </c>
      <c r="G159" t="inlineStr">
        <is>
          <t>MALÅ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46286</v>
      </c>
      <c r="F160" t="inlineStr">
        <is>
          <t>VÄSTERBOTTENS LÄN</t>
        </is>
      </c>
      <c r="G160" t="inlineStr">
        <is>
          <t>MALÅ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46286</v>
      </c>
      <c r="F161" t="inlineStr">
        <is>
          <t>VÄSTERBOTTENS LÄN</t>
        </is>
      </c>
      <c r="G161" t="inlineStr">
        <is>
          <t>MALÅ</t>
        </is>
      </c>
      <c r="I161" t="n">
        <v>20.7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46286</v>
      </c>
      <c r="F162" t="inlineStr">
        <is>
          <t>VÄSTERBOTTENS LÄN</t>
        </is>
      </c>
      <c r="G162" t="inlineStr">
        <is>
          <t>MALÅ</t>
        </is>
      </c>
      <c r="I162" t="n">
        <v>19.2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46286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45000</v>
      </c>
      <c r="E164" s="1" t="n">
        <v>46286</v>
      </c>
      <c r="F164" t="inlineStr">
        <is>
          <t>VÄSTERBOTTENS LÄN</t>
        </is>
      </c>
      <c r="G164" t="inlineStr">
        <is>
          <t>MALÅ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46286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46286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46286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45002</v>
      </c>
      <c r="E168" s="1" t="n">
        <v>46286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46286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46286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46286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46286</v>
      </c>
      <c r="F172" t="inlineStr">
        <is>
          <t>VÄSTERBOTTENS LÄN</t>
        </is>
      </c>
      <c r="G172" t="inlineStr">
        <is>
          <t>MALÅ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46286</v>
      </c>
      <c r="F173" t="inlineStr">
        <is>
          <t>VÄSTERBOTTENS LÄN</t>
        </is>
      </c>
      <c r="G173" t="inlineStr">
        <is>
          <t>MALÅ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46286</v>
      </c>
      <c r="F174" t="inlineStr">
        <is>
          <t>VÄSTERBOTTENS LÄN</t>
        </is>
      </c>
      <c r="G174" t="inlineStr">
        <is>
          <t>MALÅ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46286</v>
      </c>
      <c r="F175" t="inlineStr">
        <is>
          <t>VÄSTERBOTTENS LÄN</t>
        </is>
      </c>
      <c r="G175" t="inlineStr">
        <is>
          <t>MALÅ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45182</v>
      </c>
      <c r="E176" s="1" t="n">
        <v>46286</v>
      </c>
      <c r="F176" t="inlineStr">
        <is>
          <t>VÄSTERBOTTENS LÄN</t>
        </is>
      </c>
      <c r="G176" t="inlineStr">
        <is>
          <t>MALÅ</t>
        </is>
      </c>
      <c r="I176" t="n">
        <v>10.5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46286</v>
      </c>
      <c r="F177" t="inlineStr">
        <is>
          <t>VÄSTERBOTTENS LÄN</t>
        </is>
      </c>
      <c r="G177" t="inlineStr">
        <is>
          <t>MALÅ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46286</v>
      </c>
      <c r="F178" t="inlineStr">
        <is>
          <t>VÄSTERBOTTENS LÄN</t>
        </is>
      </c>
      <c r="G178" t="inlineStr">
        <is>
          <t>MALÅ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51357-2023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46286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46286</v>
      </c>
      <c r="F180" t="inlineStr">
        <is>
          <t>VÄSTERBOTTENS LÄN</t>
        </is>
      </c>
      <c r="G180" t="inlineStr">
        <is>
          <t>MALÅ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45193</v>
      </c>
      <c r="E181" s="1" t="n">
        <v>46286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46286</v>
      </c>
      <c r="F182" t="inlineStr">
        <is>
          <t>VÄSTERBOTTENS LÄN</t>
        </is>
      </c>
      <c r="G182" t="inlineStr">
        <is>
          <t>MALÅ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67679-2021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44524</v>
      </c>
      <c r="E183" s="1" t="n">
        <v>46286</v>
      </c>
      <c r="F183" t="inlineStr">
        <is>
          <t>VÄSTERBOTTENS LÄN</t>
        </is>
      </c>
      <c r="G183" t="inlineStr">
        <is>
          <t>MALÅ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46286</v>
      </c>
      <c r="F184" t="inlineStr">
        <is>
          <t>VÄSTERBOTTENS LÄN</t>
        </is>
      </c>
      <c r="G184" t="inlineStr">
        <is>
          <t>MALÅ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46286</v>
      </c>
      <c r="F185" t="inlineStr">
        <is>
          <t>VÄSTERBOTTENS LÄN</t>
        </is>
      </c>
      <c r="G185" t="inlineStr">
        <is>
          <t>MALÅ</t>
        </is>
      </c>
      <c r="I185" t="n">
        <v>19.5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46286</v>
      </c>
      <c r="F186" t="inlineStr">
        <is>
          <t>VÄSTERBOTTENS LÄN</t>
        </is>
      </c>
      <c r="G186" t="inlineStr">
        <is>
          <t>MALÅ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46286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46286</v>
      </c>
      <c r="F188" t="inlineStr">
        <is>
          <t>VÄSTERBOTTENS LÄN</t>
        </is>
      </c>
      <c r="G188" t="inlineStr">
        <is>
          <t>MALÅ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46286</v>
      </c>
      <c r="F189" t="inlineStr">
        <is>
          <t>VÄSTERBOTTENS LÄN</t>
        </is>
      </c>
      <c r="G189" t="inlineStr">
        <is>
          <t>MALÅ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46286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46286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46286</v>
      </c>
      <c r="F192" t="inlineStr">
        <is>
          <t>VÄSTERBOTTENS LÄN</t>
        </is>
      </c>
      <c r="G192" t="inlineStr">
        <is>
          <t>MALÅ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46286</v>
      </c>
      <c r="F193" t="inlineStr">
        <is>
          <t>VÄSTERBOTTENS LÄN</t>
        </is>
      </c>
      <c r="G193" t="inlineStr">
        <is>
          <t>MALÅ</t>
        </is>
      </c>
      <c r="I193" t="n">
        <v>26.9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45212</v>
      </c>
      <c r="E194" s="1" t="n">
        <v>46286</v>
      </c>
      <c r="F194" t="inlineStr">
        <is>
          <t>VÄSTERBOTTENS LÄN</t>
        </is>
      </c>
      <c r="G194" t="inlineStr">
        <is>
          <t>MALÅ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46286</v>
      </c>
      <c r="F195" t="inlineStr">
        <is>
          <t>VÄSTERBOTTENS LÄN</t>
        </is>
      </c>
      <c r="G195" t="inlineStr">
        <is>
          <t>MALÅ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51723-2023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46286</v>
      </c>
      <c r="F196" t="inlineStr">
        <is>
          <t>VÄSTERBOTTENS LÄN</t>
        </is>
      </c>
      <c r="G196" t="inlineStr">
        <is>
          <t>MALÅ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46286</v>
      </c>
      <c r="F197" t="inlineStr">
        <is>
          <t>VÄSTERBOTTENS LÄN</t>
        </is>
      </c>
      <c r="G197" t="inlineStr">
        <is>
          <t>MALÅ</t>
        </is>
      </c>
      <c r="I197" t="n">
        <v>48.2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46286</v>
      </c>
      <c r="F198" t="inlineStr">
        <is>
          <t>VÄSTERBOTTENS LÄN</t>
        </is>
      </c>
      <c r="G198" t="inlineStr">
        <is>
          <t>MALÅ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46286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45516</v>
      </c>
      <c r="E200" s="1" t="n">
        <v>46286</v>
      </c>
      <c r="F200" t="inlineStr">
        <is>
          <t>VÄSTERBOTTENS LÄN</t>
        </is>
      </c>
      <c r="G200" t="inlineStr">
        <is>
          <t>MALÅ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44939</v>
      </c>
      <c r="E201" s="1" t="n">
        <v>46286</v>
      </c>
      <c r="F201" t="inlineStr">
        <is>
          <t>VÄSTERBOTTENS LÄN</t>
        </is>
      </c>
      <c r="G201" t="inlineStr">
        <is>
          <t>MALÅ</t>
        </is>
      </c>
      <c r="H201" t="inlineStr">
        <is>
          <t>SCA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46286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46286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44641</v>
      </c>
      <c r="E204" s="1" t="n">
        <v>46286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46286</v>
      </c>
      <c r="F205" t="inlineStr">
        <is>
          <t>VÄSTERBOTTENS LÄN</t>
        </is>
      </c>
      <c r="G205" t="inlineStr">
        <is>
          <t>MALÅ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46286</v>
      </c>
      <c r="F206" t="inlineStr">
        <is>
          <t>VÄSTERBOTTENS LÄN</t>
        </is>
      </c>
      <c r="G206" t="inlineStr">
        <is>
          <t>MALÅ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46286</v>
      </c>
      <c r="F207" t="inlineStr">
        <is>
          <t>VÄSTERBOTTENS LÄN</t>
        </is>
      </c>
      <c r="G207" t="inlineStr">
        <is>
          <t>MALÅ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46286</v>
      </c>
      <c r="F208" t="inlineStr">
        <is>
          <t>VÄSTERBOTTENS LÄN</t>
        </is>
      </c>
      <c r="G208" t="inlineStr">
        <is>
          <t>MALÅ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46286</v>
      </c>
      <c r="F209" t="inlineStr">
        <is>
          <t>VÄSTERBOTTENS LÄN</t>
        </is>
      </c>
      <c r="G209" t="inlineStr">
        <is>
          <t>MALÅ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46286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63.6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46286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46286</v>
      </c>
      <c r="F212" t="inlineStr">
        <is>
          <t>VÄSTERBOTTENS LÄN</t>
        </is>
      </c>
      <c r="G212" t="inlineStr">
        <is>
          <t>MALÅ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45590</v>
      </c>
      <c r="E213" s="1" t="n">
        <v>46286</v>
      </c>
      <c r="F213" t="inlineStr">
        <is>
          <t>VÄSTERBOTTENS LÄN</t>
        </is>
      </c>
      <c r="G213" t="inlineStr">
        <is>
          <t>MALÅ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46286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46286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46042</v>
      </c>
      <c r="E216" s="1" t="n">
        <v>46286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45139</v>
      </c>
      <c r="E217" s="1" t="n">
        <v>46286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46286</v>
      </c>
      <c r="F218" t="inlineStr">
        <is>
          <t>VÄSTERBOTTENS LÄN</t>
        </is>
      </c>
      <c r="G218" t="inlineStr">
        <is>
          <t>MALÅ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46286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25.9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46286</v>
      </c>
      <c r="F220" t="inlineStr">
        <is>
          <t>VÄSTERBOTTENS LÄN</t>
        </is>
      </c>
      <c r="G220" t="inlineStr">
        <is>
          <t>MALÅ</t>
        </is>
      </c>
      <c r="I220" t="n">
        <v>41.2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46286</v>
      </c>
      <c r="F221" t="inlineStr">
        <is>
          <t>VÄSTERBOTTENS LÄN</t>
        </is>
      </c>
      <c r="G221" t="inlineStr">
        <is>
          <t>MALÅ</t>
        </is>
      </c>
      <c r="I221" t="n">
        <v>13.3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46286</v>
      </c>
      <c r="F222" t="inlineStr">
        <is>
          <t>VÄSTERBOTTENS LÄN</t>
        </is>
      </c>
      <c r="G222" t="inlineStr">
        <is>
          <t>MALÅ</t>
        </is>
      </c>
      <c r="H222" t="inlineStr">
        <is>
          <t>SCA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8648-2026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46066</v>
      </c>
      <c r="E223" s="1" t="n">
        <v>46286</v>
      </c>
      <c r="F223" t="inlineStr">
        <is>
          <t>VÄSTERBOTTENS LÄN</t>
        </is>
      </c>
      <c r="G223" t="inlineStr">
        <is>
          <t>MALÅ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46286</v>
      </c>
      <c r="F224" t="inlineStr">
        <is>
          <t>VÄSTERBOTTENS LÄN</t>
        </is>
      </c>
      <c r="G224" t="inlineStr">
        <is>
          <t>MALÅ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45667</v>
      </c>
      <c r="E225" s="1" t="n">
        <v>46286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46286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46286</v>
      </c>
      <c r="F227" t="inlineStr">
        <is>
          <t>VÄSTERBOTTENS LÄN</t>
        </is>
      </c>
      <c r="G227" t="inlineStr">
        <is>
          <t>MALÅ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46286</v>
      </c>
      <c r="F228" t="inlineStr">
        <is>
          <t>VÄSTERBOTTENS LÄN</t>
        </is>
      </c>
      <c r="G228" t="inlineStr">
        <is>
          <t>MALÅ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46286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46286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46286</v>
      </c>
      <c r="F231" t="inlineStr">
        <is>
          <t>VÄSTERBOTTENS LÄN</t>
        </is>
      </c>
      <c r="G231" t="inlineStr">
        <is>
          <t>MALÅ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46286</v>
      </c>
      <c r="F232" t="inlineStr">
        <is>
          <t>VÄSTERBOTTENS LÄN</t>
        </is>
      </c>
      <c r="G232" t="inlineStr">
        <is>
          <t>MALÅ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36425-2023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46286</v>
      </c>
      <c r="F233" t="inlineStr">
        <is>
          <t>VÄSTERBOTTENS LÄN</t>
        </is>
      </c>
      <c r="G233" t="inlineStr">
        <is>
          <t>MALÅ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46286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46286</v>
      </c>
      <c r="F235" t="inlineStr">
        <is>
          <t>VÄSTERBOTTENS LÄN</t>
        </is>
      </c>
      <c r="G235" t="inlineStr">
        <is>
          <t>MALÅ</t>
        </is>
      </c>
      <c r="I235" t="n">
        <v>63.5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46286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9.9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46286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45201</v>
      </c>
      <c r="E238" s="1" t="n">
        <v>46286</v>
      </c>
      <c r="F238" t="inlineStr">
        <is>
          <t>VÄSTERBOTTENS LÄN</t>
        </is>
      </c>
      <c r="G238" t="inlineStr">
        <is>
          <t>MALÅ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46286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46286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46286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46286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46286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46286</v>
      </c>
      <c r="F244" t="inlineStr">
        <is>
          <t>VÄSTERBOTTENS LÄN</t>
        </is>
      </c>
      <c r="G244" t="inlineStr">
        <is>
          <t>MALÅ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29024-2026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46286</v>
      </c>
      <c r="F245" t="inlineStr">
        <is>
          <t>VÄSTERBOTTENS LÄN</t>
        </is>
      </c>
      <c r="G245" t="inlineStr">
        <is>
          <t>MALÅ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46286</v>
      </c>
      <c r="F246" t="inlineStr">
        <is>
          <t>VÄSTERBOTTENS LÄN</t>
        </is>
      </c>
      <c r="G246" t="inlineStr">
        <is>
          <t>MALÅ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46286</v>
      </c>
      <c r="F247" t="inlineStr">
        <is>
          <t>VÄSTERBOTTENS LÄN</t>
        </is>
      </c>
      <c r="G247" t="inlineStr">
        <is>
          <t>MALÅ</t>
        </is>
      </c>
      <c r="I247" t="n">
        <v>30.4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46286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23.4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46286</v>
      </c>
      <c r="F249" t="inlineStr">
        <is>
          <t>VÄSTERBOTTENS LÄN</t>
        </is>
      </c>
      <c r="G249" t="inlineStr">
        <is>
          <t>MALÅ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46286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9.1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46286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46286</v>
      </c>
      <c r="F252" t="inlineStr">
        <is>
          <t>VÄSTERBOTTENS LÄN</t>
        </is>
      </c>
      <c r="G252" t="inlineStr">
        <is>
          <t>MALÅ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46286</v>
      </c>
      <c r="F253" t="inlineStr">
        <is>
          <t>VÄSTERBOTTENS LÄN</t>
        </is>
      </c>
      <c r="G253" t="inlineStr">
        <is>
          <t>MALÅ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46286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46286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19.7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55507-2024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46286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46286</v>
      </c>
      <c r="F257" t="inlineStr">
        <is>
          <t>VÄSTERBOTTENS LÄN</t>
        </is>
      </c>
      <c r="G257" t="inlineStr">
        <is>
          <t>MALÅ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46286</v>
      </c>
      <c r="F258" t="inlineStr">
        <is>
          <t>VÄSTERBOTTENS LÄN</t>
        </is>
      </c>
      <c r="G258" t="inlineStr">
        <is>
          <t>MALÅ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44491</v>
      </c>
      <c r="E259" s="1" t="n">
        <v>46286</v>
      </c>
      <c r="F259" t="inlineStr">
        <is>
          <t>VÄSTERBOTTENS LÄN</t>
        </is>
      </c>
      <c r="G259" t="inlineStr">
        <is>
          <t>MALÅ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46286</v>
      </c>
      <c r="F260" t="inlineStr">
        <is>
          <t>VÄSTERBOTTENS LÄN</t>
        </is>
      </c>
      <c r="G260" t="inlineStr">
        <is>
          <t>MALÅ</t>
        </is>
      </c>
      <c r="H260" t="inlineStr">
        <is>
          <t>SCA</t>
        </is>
      </c>
      <c r="I260" t="n">
        <v>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46286</v>
      </c>
      <c r="F261" t="inlineStr">
        <is>
          <t>VÄSTERBOTTENS LÄN</t>
        </is>
      </c>
      <c r="G261" t="inlineStr">
        <is>
          <t>MALÅ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46286</v>
      </c>
      <c r="F262" t="inlineStr">
        <is>
          <t>VÄSTERBOTTENS LÄN</t>
        </is>
      </c>
      <c r="G262" t="inlineStr">
        <is>
          <t>MALÅ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46286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46286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46286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46286</v>
      </c>
      <c r="F266" t="inlineStr">
        <is>
          <t>VÄSTERBOTTENS LÄN</t>
        </is>
      </c>
      <c r="G266" t="inlineStr">
        <is>
          <t>MALÅ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46286</v>
      </c>
      <c r="F267" t="inlineStr">
        <is>
          <t>VÄSTERBOTTENS LÄN</t>
        </is>
      </c>
      <c r="G267" t="inlineStr">
        <is>
          <t>MALÅ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46286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46286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46286</v>
      </c>
      <c r="F270" t="inlineStr">
        <is>
          <t>VÄSTERBOTTENS LÄN</t>
        </is>
      </c>
      <c r="G270" t="inlineStr">
        <is>
          <t>MALÅ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45223</v>
      </c>
      <c r="E271" s="1" t="n">
        <v>46286</v>
      </c>
      <c r="F271" t="inlineStr">
        <is>
          <t>VÄSTERBOTTENS LÄN</t>
        </is>
      </c>
      <c r="G271" t="inlineStr">
        <is>
          <t>MALÅ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46286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46246</v>
      </c>
      <c r="E273" s="1" t="n">
        <v>46286</v>
      </c>
      <c r="F273" t="inlineStr">
        <is>
          <t>VÄSTERBOTTENS LÄN</t>
        </is>
      </c>
      <c r="G273" t="inlineStr">
        <is>
          <t>MALÅ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46286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45694</v>
      </c>
      <c r="E275" s="1" t="n">
        <v>46286</v>
      </c>
      <c r="F275" t="inlineStr">
        <is>
          <t>VÄSTERBOTTENS LÄN</t>
        </is>
      </c>
      <c r="G275" t="inlineStr">
        <is>
          <t>MALÅ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46286</v>
      </c>
      <c r="F276" t="inlineStr">
        <is>
          <t>VÄSTERBOTTENS LÄN</t>
        </is>
      </c>
      <c r="G276" t="inlineStr">
        <is>
          <t>MALÅ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46286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46286</v>
      </c>
      <c r="F278" t="inlineStr">
        <is>
          <t>VÄSTERBOTTENS LÄN</t>
        </is>
      </c>
      <c r="G278" t="inlineStr">
        <is>
          <t>MALÅ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46286</v>
      </c>
      <c r="F279" t="inlineStr">
        <is>
          <t>VÄSTERBOTTENS LÄN</t>
        </is>
      </c>
      <c r="G279" t="inlineStr">
        <is>
          <t>MALÅ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46286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46286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46286</v>
      </c>
      <c r="F282" t="inlineStr">
        <is>
          <t>VÄSTERBOTTENS LÄN</t>
        </is>
      </c>
      <c r="G282" t="inlineStr">
        <is>
          <t>MALÅ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46251</v>
      </c>
      <c r="E283" s="1" t="n">
        <v>46286</v>
      </c>
      <c r="F283" t="inlineStr">
        <is>
          <t>VÄSTERBOTTENS LÄN</t>
        </is>
      </c>
      <c r="G283" t="inlineStr">
        <is>
          <t>MALÅ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46286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46286</v>
      </c>
      <c r="F285" t="inlineStr">
        <is>
          <t>VÄSTERBOTTENS LÄN</t>
        </is>
      </c>
      <c r="G285" t="inlineStr">
        <is>
          <t>MALÅ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HYPERLINK("https://klasma.github.io/Logging_2418/knärot/A 41353-2023 karta knärot.png", "A 41353-2023")</f>
        <v/>
      </c>
      <c r="AA285">
        <f>HYPERLINK("https://klasma.github.io/Logging_2418/klagomål/A 41353-2023 FSC-klagomål.docx", "A 41353-2023")</f>
        <v/>
      </c>
      <c r="AB285">
        <f>HYPERLINK("https://klasma.github.io/Logging_2418/klagomålsmail/A 41353-2023 FSC-klagomål mail.docx", "A 41353-2023")</f>
        <v/>
      </c>
      <c r="AC285">
        <f>HYPERLINK("https://klasma.github.io/Logging_2418/tillsyn/A 41353-2023 tillsynsbegäran.docx", "A 41353-2023")</f>
        <v/>
      </c>
      <c r="AD285">
        <f>HYPERLINK("https://klasma.github.io/Logging_2418/tillsynsmail/A 41353-2023 tillsynsbegäran mail.docx", "A 41353-2023")</f>
        <v/>
      </c>
    </row>
    <row r="286" ht="15" customHeight="1">
      <c r="A286" t="inlineStr">
        <is>
          <t>A 34255-2026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46286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46286</v>
      </c>
      <c r="F287" t="inlineStr">
        <is>
          <t>VÄSTERBOTTENS LÄN</t>
        </is>
      </c>
      <c r="G287" t="inlineStr">
        <is>
          <t>MALÅ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46286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30502-2026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46210</v>
      </c>
      <c r="E289" s="1" t="n">
        <v>46286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46253</v>
      </c>
      <c r="E290" s="1" t="n">
        <v>46286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44802</v>
      </c>
      <c r="E291" s="1" t="n">
        <v>46286</v>
      </c>
      <c r="F291" t="inlineStr">
        <is>
          <t>VÄSTERBOTTENS LÄN</t>
        </is>
      </c>
      <c r="G291" t="inlineStr">
        <is>
          <t>MALÅ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46286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30.8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46286</v>
      </c>
      <c r="F293" t="inlineStr">
        <is>
          <t>VÄSTERBOTTENS LÄN</t>
        </is>
      </c>
      <c r="G293" t="inlineStr">
        <is>
          <t>MALÅ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46286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46286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46286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18.4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46286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49434-2023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45211</v>
      </c>
      <c r="E298" s="1" t="n">
        <v>46286</v>
      </c>
      <c r="F298" t="inlineStr">
        <is>
          <t>VÄSTERBOTTENS LÄN</t>
        </is>
      </c>
      <c r="G298" t="inlineStr">
        <is>
          <t>MALÅ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46286</v>
      </c>
      <c r="F299" t="inlineStr">
        <is>
          <t>VÄSTERBOTTENS LÄN</t>
        </is>
      </c>
      <c r="G299" t="inlineStr">
        <is>
          <t>MALÅ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46286</v>
      </c>
      <c r="F300" t="inlineStr">
        <is>
          <t>VÄSTERBOTTENS LÄN</t>
        </is>
      </c>
      <c r="G300" t="inlineStr">
        <is>
          <t>MALÅ</t>
        </is>
      </c>
      <c r="I300" t="n">
        <v>27.9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32767-2024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45516</v>
      </c>
      <c r="E301" s="1" t="n">
        <v>46286</v>
      </c>
      <c r="F301" t="inlineStr">
        <is>
          <t>VÄSTERBOTTENS LÄN</t>
        </is>
      </c>
      <c r="G301" t="inlineStr">
        <is>
          <t>MALÅ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46286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46260</v>
      </c>
      <c r="E303" s="1" t="n">
        <v>46286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46286</v>
      </c>
      <c r="F304" t="inlineStr">
        <is>
          <t>VÄSTERBOTTENS LÄN</t>
        </is>
      </c>
      <c r="G304" t="inlineStr">
        <is>
          <t>MALÅ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46223</v>
      </c>
      <c r="E305" s="1" t="n">
        <v>46286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46223</v>
      </c>
      <c r="E306" s="1" t="n">
        <v>46286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45152</v>
      </c>
      <c r="E307" s="1" t="n">
        <v>46286</v>
      </c>
      <c r="F307" t="inlineStr">
        <is>
          <t>VÄSTERBOTTENS LÄN</t>
        </is>
      </c>
      <c r="G307" t="inlineStr">
        <is>
          <t>MALÅ</t>
        </is>
      </c>
      <c r="I307" t="n">
        <v>13.3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46286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46286</v>
      </c>
      <c r="F309" t="inlineStr">
        <is>
          <t>VÄSTERBOTTENS LÄN</t>
        </is>
      </c>
      <c r="G309" t="inlineStr">
        <is>
          <t>MALÅ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26853-2026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46185</v>
      </c>
      <c r="E310" s="1" t="n">
        <v>46286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46286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45483</v>
      </c>
      <c r="E312" s="1" t="n">
        <v>46286</v>
      </c>
      <c r="F312" t="inlineStr">
        <is>
          <t>VÄSTERBOTTENS LÄN</t>
        </is>
      </c>
      <c r="G312" t="inlineStr">
        <is>
          <t>MALÅ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46286</v>
      </c>
      <c r="F313" t="inlineStr">
        <is>
          <t>VÄSTERBOTTENS LÄN</t>
        </is>
      </c>
      <c r="G313" t="inlineStr">
        <is>
          <t>MALÅ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46232</v>
      </c>
      <c r="E314" s="1" t="n">
        <v>46286</v>
      </c>
      <c r="F314" t="inlineStr">
        <is>
          <t>VÄSTERBOTTENS LÄN</t>
        </is>
      </c>
      <c r="G314" t="inlineStr">
        <is>
          <t>MALÅ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46286</v>
      </c>
      <c r="F315" t="inlineStr">
        <is>
          <t>VÄSTERBOTTENS LÄN</t>
        </is>
      </c>
      <c r="G315" t="inlineStr">
        <is>
          <t>MALÅ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46276</v>
      </c>
      <c r="E316" s="1" t="n">
        <v>46286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46286</v>
      </c>
      <c r="F317" t="inlineStr">
        <is>
          <t>VÄSTERBOTTENS LÄN</t>
        </is>
      </c>
      <c r="G317" t="inlineStr">
        <is>
          <t>MALÅ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46286</v>
      </c>
      <c r="F318" t="inlineStr">
        <is>
          <t>VÄSTERBOTTENS LÄN</t>
        </is>
      </c>
      <c r="G318" t="inlineStr">
        <is>
          <t>MALÅ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46279</v>
      </c>
      <c r="E319" s="1" t="n">
        <v>46286</v>
      </c>
      <c r="F319" t="inlineStr">
        <is>
          <t>VÄSTERBOTTENS LÄN</t>
        </is>
      </c>
      <c r="G319" t="inlineStr">
        <is>
          <t>MALÅ</t>
        </is>
      </c>
      <c r="H319" t="inlineStr">
        <is>
          <t>SCA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46286</v>
      </c>
      <c r="F320" t="inlineStr">
        <is>
          <t>VÄSTERBOTTENS LÄN</t>
        </is>
      </c>
      <c r="G320" t="inlineStr">
        <is>
          <t>MALÅ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46286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46286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46286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46286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46989-2023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45201</v>
      </c>
      <c r="E325" s="1" t="n">
        <v>46286</v>
      </c>
      <c r="F325" t="inlineStr">
        <is>
          <t>VÄSTERBOTTENS LÄN</t>
        </is>
      </c>
      <c r="G325" t="inlineStr">
        <is>
          <t>MALÅ</t>
        </is>
      </c>
      <c r="I325" t="n">
        <v>22.9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59801-2021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44491</v>
      </c>
      <c r="E326" s="1" t="n">
        <v>46286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45516</v>
      </c>
      <c r="E327" s="1" t="n">
        <v>46286</v>
      </c>
      <c r="F327" t="inlineStr">
        <is>
          <t>VÄSTERBOTTENS LÄN</t>
        </is>
      </c>
      <c r="G327" t="inlineStr">
        <is>
          <t>MALÅ</t>
        </is>
      </c>
      <c r="I327" t="n">
        <v>15.5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46286</v>
      </c>
      <c r="F328" t="inlineStr">
        <is>
          <t>VÄSTERBOTTENS LÄN</t>
        </is>
      </c>
      <c r="G328" t="inlineStr">
        <is>
          <t>MALÅ</t>
        </is>
      </c>
      <c r="I328" t="n">
        <v>16.6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46286</v>
      </c>
      <c r="F329" t="inlineStr">
        <is>
          <t>VÄSTERBOTTENS LÄN</t>
        </is>
      </c>
      <c r="G329" t="inlineStr">
        <is>
          <t>MALÅ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46286</v>
      </c>
      <c r="F330" t="inlineStr">
        <is>
          <t>VÄSTERBOTTENS LÄN</t>
        </is>
      </c>
      <c r="G330" t="inlineStr">
        <is>
          <t>MALÅ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46286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46286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44740</v>
      </c>
      <c r="E333" s="1" t="n">
        <v>46286</v>
      </c>
      <c r="F333" t="inlineStr">
        <is>
          <t>VÄSTERBOTTENS LÄN</t>
        </is>
      </c>
      <c r="G333" t="inlineStr">
        <is>
          <t>MALÅ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46286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46286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45861</v>
      </c>
      <c r="E336" s="1" t="n">
        <v>46286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46286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46286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46286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46286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45867</v>
      </c>
      <c r="E341" s="1" t="n">
        <v>46286</v>
      </c>
      <c r="F341" t="inlineStr">
        <is>
          <t>VÄSTERBOTTENS LÄN</t>
        </is>
      </c>
      <c r="G341" t="inlineStr">
        <is>
          <t>MALÅ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46286</v>
      </c>
      <c r="F342" t="inlineStr">
        <is>
          <t>VÄSTERBOTTENS LÄN</t>
        </is>
      </c>
      <c r="G342" t="inlineStr">
        <is>
          <t>MALÅ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46286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2026-09-21T02:03:38Z</dcterms:created>
  <dcterms:modified xmlns:dcterms="http://purl.org/dc/terms/" xmlns:xsi="http://www.w3.org/2001/XMLSchema-instance" xsi:type="dcterms:W3CDTF">2026-09-21T02:03:38Z</dcterms:modified>
</cp:coreProperties>
</file>