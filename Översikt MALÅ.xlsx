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46269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46269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46269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44454</v>
      </c>
      <c r="E9" s="1" t="n">
        <v>46269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26.5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Norna</t>
        </is>
      </c>
      <c r="W9">
        <f>HYPERLINK("https://klasma.github.io/Logging_2418/artfynd/A 49370-2021 artfynd.xlsx", "A 49370-2021")</f>
        <v/>
      </c>
      <c r="X9">
        <f>HYPERLINK("https://klasma.github.io/Logging_2418/kartor/A 49370-2021 karta.png", "A 49370-2021")</f>
        <v/>
      </c>
      <c r="Y9">
        <f>HYPERLINK("https://klasma.github.io/Logging_2418/kartor_geotiff/A 49370-2021 georefererad karta.tif", "A 49370-2021")</f>
        <v/>
      </c>
      <c r="AA9">
        <f>HYPERLINK("https://klasma.github.io/Logging_2418/klagomål/A 49370-2021 FSC-klagomål.docx", "A 49370-2021")</f>
        <v/>
      </c>
      <c r="AB9">
        <f>HYPERLINK("https://klasma.github.io/Logging_2418/klagomålsmail/A 49370-2021 FSC-klagomål mail.docx", "A 49370-2021")</f>
        <v/>
      </c>
      <c r="AC9">
        <f>HYPERLINK("https://klasma.github.io/Logging_2418/tillsyn/A 49370-2021 tillsynsbegäran.docx", "A 49370-2021")</f>
        <v/>
      </c>
      <c r="AD9">
        <f>HYPERLINK("https://klasma.github.io/Logging_2418/tillsynsmail/A 49370-2021 tillsynsbegäran mail.docx", "A 49370-2021")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46269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46269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46269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46269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46269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46269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46269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46269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46269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46269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37172-2023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45154</v>
      </c>
      <c r="E20" s="1" t="n">
        <v>46269</v>
      </c>
      <c r="F20" t="inlineStr">
        <is>
          <t>VÄSTERBOTTENS LÄN</t>
        </is>
      </c>
      <c r="G20" t="inlineStr">
        <is>
          <t>MALÅ</t>
        </is>
      </c>
      <c r="I20" t="n">
        <v>73.7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46269</v>
      </c>
      <c r="F21" t="inlineStr">
        <is>
          <t>VÄSTERBOTTENS LÄN</t>
        </is>
      </c>
      <c r="G21" t="inlineStr">
        <is>
          <t>MALÅ</t>
        </is>
      </c>
      <c r="I21" t="n">
        <v>10.4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53657-2023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46269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39788-2023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45167</v>
      </c>
      <c r="E23" s="1" t="n">
        <v>46269</v>
      </c>
      <c r="F23" t="inlineStr">
        <is>
          <t>VÄSTERBOTTENS LÄN</t>
        </is>
      </c>
      <c r="G23" t="inlineStr">
        <is>
          <t>MALÅ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56727-2022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44893</v>
      </c>
      <c r="E24" s="1" t="n">
        <v>46269</v>
      </c>
      <c r="F24" t="inlineStr">
        <is>
          <t>VÄSTERBOTTENS LÄN</t>
        </is>
      </c>
      <c r="G24" t="inlineStr">
        <is>
          <t>MALÅ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45174</v>
      </c>
      <c r="E25" s="1" t="n">
        <v>46269</v>
      </c>
      <c r="F25" t="inlineStr">
        <is>
          <t>VÄSTERBOTTENS LÄN</t>
        </is>
      </c>
      <c r="G25" t="inlineStr">
        <is>
          <t>MALÅ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  <c r="Z25">
        <f>HYPERLINK("https://klasma.github.io/Logging_2418/knärot/A 41353-2023 karta knärot.png", "A 41353-2023")</f>
        <v/>
      </c>
      <c r="AA25">
        <f>HYPERLINK("https://klasma.github.io/Logging_2418/klagomål/A 41353-2023 FSC-klagomål.docx", "A 41353-2023")</f>
        <v/>
      </c>
      <c r="AB25">
        <f>HYPERLINK("https://klasma.github.io/Logging_2418/klagomålsmail/A 41353-2023 FSC-klagomål mail.docx", "A 41353-2023")</f>
        <v/>
      </c>
      <c r="AC25">
        <f>HYPERLINK("https://klasma.github.io/Logging_2418/tillsyn/A 41353-2023 tillsynsbegäran.docx", "A 41353-2023")</f>
        <v/>
      </c>
      <c r="AD25">
        <f>HYPERLINK("https://klasma.github.io/Logging_2418/tillsynsmail/A 41353-2023 tillsynsbegäran mail.docx", "A 41353-2023")</f>
        <v/>
      </c>
    </row>
    <row r="26" ht="15" customHeight="1">
      <c r="A26" t="inlineStr">
        <is>
          <t>A 48931-2023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46269</v>
      </c>
      <c r="F26" t="inlineStr">
        <is>
          <t>VÄSTERBOTTENS LÄN</t>
        </is>
      </c>
      <c r="G26" t="inlineStr">
        <is>
          <t>MALÅ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51357-2023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45219</v>
      </c>
      <c r="E27" s="1" t="n">
        <v>46269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46269</v>
      </c>
      <c r="F28" t="inlineStr">
        <is>
          <t>VÄSTERBOTTENS LÄN</t>
        </is>
      </c>
      <c r="G28" t="inlineStr">
        <is>
          <t>MALÅ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23631-2024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45454</v>
      </c>
      <c r="E29" s="1" t="n">
        <v>46269</v>
      </c>
      <c r="F29" t="inlineStr">
        <is>
          <t>VÄSTERBOTTENS LÄN</t>
        </is>
      </c>
      <c r="G29" t="inlineStr">
        <is>
          <t>MALÅ</t>
        </is>
      </c>
      <c r="I29" t="n">
        <v>9.4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45154</v>
      </c>
      <c r="E30" s="1" t="n">
        <v>46269</v>
      </c>
      <c r="F30" t="inlineStr">
        <is>
          <t>VÄSTERBOTTENS LÄN</t>
        </is>
      </c>
      <c r="G30" t="inlineStr">
        <is>
          <t>MALÅ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41913-2023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46269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45700</v>
      </c>
      <c r="E32" s="1" t="n">
        <v>46269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57499-2022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46269</v>
      </c>
      <c r="F33" t="inlineStr">
        <is>
          <t>VÄSTERBOTTENS LÄN</t>
        </is>
      </c>
      <c r="G33" t="inlineStr">
        <is>
          <t>MALÅ</t>
        </is>
      </c>
      <c r="I33" t="n">
        <v>10.2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46063-2023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46269</v>
      </c>
      <c r="F34" t="inlineStr">
        <is>
          <t>VÄSTERBOTTENS LÄN</t>
        </is>
      </c>
      <c r="G34" t="inlineStr">
        <is>
          <t>MALÅ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59801-2021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44491</v>
      </c>
      <c r="E35" s="1" t="n">
        <v>46269</v>
      </c>
      <c r="F35" t="inlineStr">
        <is>
          <t>VÄSTERBOTTENS LÄN</t>
        </is>
      </c>
      <c r="G35" t="inlineStr">
        <is>
          <t>MALÅ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44523</v>
      </c>
      <c r="E36" s="1" t="n">
        <v>46269</v>
      </c>
      <c r="F36" t="inlineStr">
        <is>
          <t>VÄSTERBOTTENS LÄN</t>
        </is>
      </c>
      <c r="G36" t="inlineStr">
        <is>
          <t>MALÅ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32979-2024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45516</v>
      </c>
      <c r="E37" s="1" t="n">
        <v>46269</v>
      </c>
      <c r="F37" t="inlineStr">
        <is>
          <t>VÄSTERBOTTENS LÄN</t>
        </is>
      </c>
      <c r="G37" t="inlineStr">
        <is>
          <t>MALÅ</t>
        </is>
      </c>
      <c r="I37" t="n">
        <v>15.5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45789-2023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45189</v>
      </c>
      <c r="E38" s="1" t="n">
        <v>46269</v>
      </c>
      <c r="F38" t="inlineStr">
        <is>
          <t>VÄSTERBOTTENS LÄN</t>
        </is>
      </c>
      <c r="G38" t="inlineStr">
        <is>
          <t>MALÅ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46269</v>
      </c>
      <c r="F39" t="inlineStr">
        <is>
          <t>VÄSTERBOTTENS LÄN</t>
        </is>
      </c>
      <c r="G39" t="inlineStr">
        <is>
          <t>MALÅ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46989-2023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45201</v>
      </c>
      <c r="E40" s="1" t="n">
        <v>46269</v>
      </c>
      <c r="F40" t="inlineStr">
        <is>
          <t>VÄSTERBOTTENS LÄN</t>
        </is>
      </c>
      <c r="G40" t="inlineStr">
        <is>
          <t>MALÅ</t>
        </is>
      </c>
      <c r="I40" t="n">
        <v>22.9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45219</v>
      </c>
      <c r="E41" s="1" t="n">
        <v>46269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44994</v>
      </c>
      <c r="E42" s="1" t="n">
        <v>46269</v>
      </c>
      <c r="F42" t="inlineStr">
        <is>
          <t>VÄSTERBOTTENS LÄN</t>
        </is>
      </c>
      <c r="G42" t="inlineStr">
        <is>
          <t>MALÅ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44964</v>
      </c>
      <c r="E43" s="1" t="n">
        <v>46269</v>
      </c>
      <c r="F43" t="inlineStr">
        <is>
          <t>VÄSTERBOTTENS LÄN</t>
        </is>
      </c>
      <c r="G43" t="inlineStr">
        <is>
          <t>MALÅ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45252</v>
      </c>
      <c r="E44" s="1" t="n">
        <v>46269</v>
      </c>
      <c r="F44" t="inlineStr">
        <is>
          <t>VÄSTERBOTTENS LÄN</t>
        </is>
      </c>
      <c r="G44" t="inlineStr">
        <is>
          <t>MALÅ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49434-2023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45211</v>
      </c>
      <c r="E45" s="1" t="n">
        <v>46269</v>
      </c>
      <c r="F45" t="inlineStr">
        <is>
          <t>VÄSTERBOTTENS LÄN</t>
        </is>
      </c>
      <c r="G45" t="inlineStr">
        <is>
          <t>MALÅ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45694</v>
      </c>
      <c r="E46" s="1" t="n">
        <v>46269</v>
      </c>
      <c r="F46" t="inlineStr">
        <is>
          <t>VÄSTERBOTTENS LÄN</t>
        </is>
      </c>
      <c r="G46" t="inlineStr">
        <is>
          <t>MALÅ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46269</v>
      </c>
      <c r="F47" t="inlineStr">
        <is>
          <t>VÄSTERBOTTENS LÄN</t>
        </is>
      </c>
      <c r="G47" t="inlineStr">
        <is>
          <t>MALÅ</t>
        </is>
      </c>
      <c r="I47" t="n">
        <v>16.6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46269</v>
      </c>
      <c r="F48" t="inlineStr">
        <is>
          <t>VÄSTERBOTTENS LÄN</t>
        </is>
      </c>
      <c r="G48" t="inlineStr">
        <is>
          <t>MALÅ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46269</v>
      </c>
      <c r="F49" t="inlineStr">
        <is>
          <t>VÄSTERBOTTENS LÄN</t>
        </is>
      </c>
      <c r="G49" t="inlineStr">
        <is>
          <t>MALÅ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45643</v>
      </c>
      <c r="E50" s="1" t="n">
        <v>46269</v>
      </c>
      <c r="F50" t="inlineStr">
        <is>
          <t>VÄSTERBOTTENS LÄN</t>
        </is>
      </c>
      <c r="G50" t="inlineStr">
        <is>
          <t>MALÅ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24681-2025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45798</v>
      </c>
      <c r="E51" s="1" t="n">
        <v>46269</v>
      </c>
      <c r="F51" t="inlineStr">
        <is>
          <t>VÄSTERBOTTENS LÄN</t>
        </is>
      </c>
      <c r="G51" t="inlineStr">
        <is>
          <t>MALÅ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46269</v>
      </c>
      <c r="F52" t="inlineStr">
        <is>
          <t>VÄSTERBOTTENS LÄN</t>
        </is>
      </c>
      <c r="G52" t="inlineStr">
        <is>
          <t>MALÅ</t>
        </is>
      </c>
      <c r="I52" t="n">
        <v>10.5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44448</v>
      </c>
      <c r="E53" s="1" t="n">
        <v>46269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46269</v>
      </c>
      <c r="F54" t="inlineStr">
        <is>
          <t>VÄSTERBOTTENS LÄN</t>
        </is>
      </c>
      <c r="G54" t="inlineStr">
        <is>
          <t>MALÅ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45393</v>
      </c>
      <c r="E55" s="1" t="n">
        <v>46269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46269</v>
      </c>
      <c r="F56" t="inlineStr">
        <is>
          <t>VÄSTERBOTTENS LÄN</t>
        </is>
      </c>
      <c r="G56" t="inlineStr">
        <is>
          <t>MALÅ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45000</v>
      </c>
      <c r="E57" s="1" t="n">
        <v>46269</v>
      </c>
      <c r="F57" t="inlineStr">
        <is>
          <t>VÄSTERBOTTENS LÄN</t>
        </is>
      </c>
      <c r="G57" t="inlineStr">
        <is>
          <t>MALÅ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46269</v>
      </c>
      <c r="F58" t="inlineStr">
        <is>
          <t>VÄSTERBOTTENS LÄN</t>
        </is>
      </c>
      <c r="G58" t="inlineStr">
        <is>
          <t>MALÅ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61990-2024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46269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46269</v>
      </c>
      <c r="F60" t="inlineStr">
        <is>
          <t>VÄSTERBOTTENS LÄN</t>
        </is>
      </c>
      <c r="G60" t="inlineStr">
        <is>
          <t>MALÅ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45201</v>
      </c>
      <c r="E61" s="1" t="n">
        <v>46269</v>
      </c>
      <c r="F61" t="inlineStr">
        <is>
          <t>VÄSTERBOTTENS LÄN</t>
        </is>
      </c>
      <c r="G61" t="inlineStr">
        <is>
          <t>MALÅ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47434-2023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45197</v>
      </c>
      <c r="E62" s="1" t="n">
        <v>46269</v>
      </c>
      <c r="F62" t="inlineStr">
        <is>
          <t>VÄSTERBOTTENS LÄN</t>
        </is>
      </c>
      <c r="G62" t="inlineStr">
        <is>
          <t>MALÅ</t>
        </is>
      </c>
      <c r="I62" t="n">
        <v>10.9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13004-2023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45002</v>
      </c>
      <c r="E63" s="1" t="n">
        <v>46269</v>
      </c>
      <c r="F63" t="inlineStr">
        <is>
          <t>VÄSTERBOTTENS LÄN</t>
        </is>
      </c>
      <c r="G63" t="inlineStr">
        <is>
          <t>MALÅ</t>
        </is>
      </c>
      <c r="H63" t="inlineStr">
        <is>
          <t>SCA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45153</v>
      </c>
      <c r="E64" s="1" t="n">
        <v>46269</v>
      </c>
      <c r="F64" t="inlineStr">
        <is>
          <t>VÄSTERBOTTENS LÄN</t>
        </is>
      </c>
      <c r="G64" t="inlineStr">
        <is>
          <t>MALÅ</t>
        </is>
      </c>
      <c r="I64" t="n">
        <v>15.7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45153</v>
      </c>
      <c r="E65" s="1" t="n">
        <v>46269</v>
      </c>
      <c r="F65" t="inlineStr">
        <is>
          <t>VÄSTERBOTTENS LÄN</t>
        </is>
      </c>
      <c r="G65" t="inlineStr">
        <is>
          <t>MALÅ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45178</v>
      </c>
      <c r="E66" s="1" t="n">
        <v>46269</v>
      </c>
      <c r="F66" t="inlineStr">
        <is>
          <t>VÄSTERBOTTENS LÄN</t>
        </is>
      </c>
      <c r="G66" t="inlineStr">
        <is>
          <t>MALÅ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26892-2022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46269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45267</v>
      </c>
      <c r="E68" s="1" t="n">
        <v>46269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32769-2024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45516</v>
      </c>
      <c r="E69" s="1" t="n">
        <v>46269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49013-2023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45204</v>
      </c>
      <c r="E70" s="1" t="n">
        <v>46269</v>
      </c>
      <c r="F70" t="inlineStr">
        <is>
          <t>VÄSTERBOTTENS LÄN</t>
        </is>
      </c>
      <c r="G70" t="inlineStr">
        <is>
          <t>MALÅ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46269</v>
      </c>
      <c r="F71" t="inlineStr">
        <is>
          <t>VÄSTERBOTTENS LÄN</t>
        </is>
      </c>
      <c r="G71" t="inlineStr">
        <is>
          <t>MALÅ</t>
        </is>
      </c>
      <c r="H71" t="inlineStr">
        <is>
          <t>SCA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45639</v>
      </c>
      <c r="E72" s="1" t="n">
        <v>46269</v>
      </c>
      <c r="F72" t="inlineStr">
        <is>
          <t>VÄSTERBOTTENS LÄN</t>
        </is>
      </c>
      <c r="G72" t="inlineStr">
        <is>
          <t>MALÅ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46269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45744-2023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45193</v>
      </c>
      <c r="E74" s="1" t="n">
        <v>46269</v>
      </c>
      <c r="F74" t="inlineStr">
        <is>
          <t>VÄSTERBOTTENS LÄN</t>
        </is>
      </c>
      <c r="G74" t="inlineStr">
        <is>
          <t>MALÅ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56662-2024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46269</v>
      </c>
      <c r="F75" t="inlineStr">
        <is>
          <t>VÄSTERBOTTENS LÄN</t>
        </is>
      </c>
      <c r="G75" t="inlineStr">
        <is>
          <t>MALÅ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46269</v>
      </c>
      <c r="F76" t="inlineStr">
        <is>
          <t>VÄSTERBOTTENS LÄN</t>
        </is>
      </c>
      <c r="G76" t="inlineStr">
        <is>
          <t>MALÅ</t>
        </is>
      </c>
      <c r="H76" t="inlineStr">
        <is>
          <t>SCA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46269</v>
      </c>
      <c r="F77" t="inlineStr">
        <is>
          <t>VÄSTERBOTTENS LÄN</t>
        </is>
      </c>
      <c r="G77" t="inlineStr">
        <is>
          <t>MALÅ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46269</v>
      </c>
      <c r="F78" t="inlineStr">
        <is>
          <t>VÄSTERBOTTENS LÄN</t>
        </is>
      </c>
      <c r="G78" t="inlineStr">
        <is>
          <t>MALÅ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45646</v>
      </c>
      <c r="E79" s="1" t="n">
        <v>46269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45149</v>
      </c>
      <c r="E80" s="1" t="n">
        <v>46269</v>
      </c>
      <c r="F80" t="inlineStr">
        <is>
          <t>VÄSTERBOTTENS LÄN</t>
        </is>
      </c>
      <c r="G80" t="inlineStr">
        <is>
          <t>MALÅ</t>
        </is>
      </c>
      <c r="I80" t="n">
        <v>26.9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46269</v>
      </c>
      <c r="F81" t="inlineStr">
        <is>
          <t>VÄSTERBOTTENS LÄN</t>
        </is>
      </c>
      <c r="G81" t="inlineStr">
        <is>
          <t>MALÅ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33690-2024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46269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60702-2024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45642</v>
      </c>
      <c r="E83" s="1" t="n">
        <v>46269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45625</v>
      </c>
      <c r="E84" s="1" t="n">
        <v>46269</v>
      </c>
      <c r="F84" t="inlineStr">
        <is>
          <t>VÄSTERBOTTENS LÄN</t>
        </is>
      </c>
      <c r="G84" t="inlineStr">
        <is>
          <t>MALÅ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46269</v>
      </c>
      <c r="F85" t="inlineStr">
        <is>
          <t>VÄSTERBOTTENS LÄN</t>
        </is>
      </c>
      <c r="G85" t="inlineStr">
        <is>
          <t>MALÅ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45022</v>
      </c>
      <c r="E86" s="1" t="n">
        <v>46269</v>
      </c>
      <c r="F86" t="inlineStr">
        <is>
          <t>VÄSTERBOTTENS LÄN</t>
        </is>
      </c>
      <c r="G86" t="inlineStr">
        <is>
          <t>MALÅ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15850-2023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45022</v>
      </c>
      <c r="E87" s="1" t="n">
        <v>46269</v>
      </c>
      <c r="F87" t="inlineStr">
        <is>
          <t>VÄSTERBOTTENS LÄN</t>
        </is>
      </c>
      <c r="G87" t="inlineStr">
        <is>
          <t>MALÅ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45238</v>
      </c>
      <c r="E88" s="1" t="n">
        <v>46269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45148</v>
      </c>
      <c r="E89" s="1" t="n">
        <v>46269</v>
      </c>
      <c r="F89" t="inlineStr">
        <is>
          <t>VÄSTERBOTTENS LÄN</t>
        </is>
      </c>
      <c r="G89" t="inlineStr">
        <is>
          <t>MALÅ</t>
        </is>
      </c>
      <c r="I89" t="n">
        <v>16.2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46269</v>
      </c>
      <c r="F90" t="inlineStr">
        <is>
          <t>VÄSTERBOTTENS LÄN</t>
        </is>
      </c>
      <c r="G90" t="inlineStr">
        <is>
          <t>MALÅ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46269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21.8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46359-2023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45193</v>
      </c>
      <c r="E92" s="1" t="n">
        <v>46269</v>
      </c>
      <c r="F92" t="inlineStr">
        <is>
          <t>VÄSTERBOTTENS LÄN</t>
        </is>
      </c>
      <c r="G92" t="inlineStr">
        <is>
          <t>MALÅ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45504</v>
      </c>
      <c r="E93" s="1" t="n">
        <v>46269</v>
      </c>
      <c r="F93" t="inlineStr">
        <is>
          <t>VÄSTERBOTTENS LÄN</t>
        </is>
      </c>
      <c r="G93" t="inlineStr">
        <is>
          <t>MALÅ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45190</v>
      </c>
      <c r="E94" s="1" t="n">
        <v>46269</v>
      </c>
      <c r="F94" t="inlineStr">
        <is>
          <t>VÄSTERBOTTENS LÄN</t>
        </is>
      </c>
      <c r="G94" t="inlineStr">
        <is>
          <t>MALÅ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46269</v>
      </c>
      <c r="F95" t="inlineStr">
        <is>
          <t>VÄSTERBOTTENS LÄN</t>
        </is>
      </c>
      <c r="G95" t="inlineStr">
        <is>
          <t>MALÅ</t>
        </is>
      </c>
      <c r="I95" t="n">
        <v>48.2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46269</v>
      </c>
      <c r="F96" t="inlineStr">
        <is>
          <t>VÄSTERBOTTENS LÄN</t>
        </is>
      </c>
      <c r="G96" t="inlineStr">
        <is>
          <t>MALÅ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58240-2022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46269</v>
      </c>
      <c r="F97" t="inlineStr">
        <is>
          <t>VÄSTERBOTTENS LÄN</t>
        </is>
      </c>
      <c r="G97" t="inlineStr">
        <is>
          <t>MALÅ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36745-2023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45153</v>
      </c>
      <c r="E98" s="1" t="n">
        <v>46269</v>
      </c>
      <c r="F98" t="inlineStr">
        <is>
          <t>VÄSTERBOTTENS LÄN</t>
        </is>
      </c>
      <c r="G98" t="inlineStr">
        <is>
          <t>MALÅ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48348-2023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46269</v>
      </c>
      <c r="F99" t="inlineStr">
        <is>
          <t>VÄSTERBOTTENS LÄN</t>
        </is>
      </c>
      <c r="G99" t="inlineStr">
        <is>
          <t>MALÅ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46269</v>
      </c>
      <c r="F100" t="inlineStr">
        <is>
          <t>VÄSTERBOTTENS LÄN</t>
        </is>
      </c>
      <c r="G100" t="inlineStr">
        <is>
          <t>MALÅ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46269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63.6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46269</v>
      </c>
      <c r="F102" t="inlineStr">
        <is>
          <t>VÄSTERBOTTENS LÄN</t>
        </is>
      </c>
      <c r="G102" t="inlineStr">
        <is>
          <t>MALÅ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46269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45860</v>
      </c>
      <c r="E104" s="1" t="n">
        <v>46269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45860</v>
      </c>
      <c r="E105" s="1" t="n">
        <v>46269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45861</v>
      </c>
      <c r="E106" s="1" t="n">
        <v>46269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45861</v>
      </c>
      <c r="E107" s="1" t="n">
        <v>46269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46269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10.2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45861</v>
      </c>
      <c r="E109" s="1" t="n">
        <v>46269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45861</v>
      </c>
      <c r="E110" s="1" t="n">
        <v>46269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35917-2022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44802</v>
      </c>
      <c r="E111" s="1" t="n">
        <v>46269</v>
      </c>
      <c r="F111" t="inlineStr">
        <is>
          <t>VÄSTERBOTTENS LÄN</t>
        </is>
      </c>
      <c r="G111" t="inlineStr">
        <is>
          <t>MALÅ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32767-2024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45516</v>
      </c>
      <c r="E112" s="1" t="n">
        <v>46269</v>
      </c>
      <c r="F112" t="inlineStr">
        <is>
          <t>VÄSTERBOTTENS LÄN</t>
        </is>
      </c>
      <c r="G112" t="inlineStr">
        <is>
          <t>MALÅ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45867</v>
      </c>
      <c r="E113" s="1" t="n">
        <v>46269</v>
      </c>
      <c r="F113" t="inlineStr">
        <is>
          <t>VÄSTERBOTTENS LÄN</t>
        </is>
      </c>
      <c r="G113" t="inlineStr">
        <is>
          <t>MALÅ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46269</v>
      </c>
      <c r="F114" t="inlineStr">
        <is>
          <t>VÄSTERBOTTENS LÄN</t>
        </is>
      </c>
      <c r="G114" t="inlineStr">
        <is>
          <t>MALÅ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46269</v>
      </c>
      <c r="F115" t="inlineStr">
        <is>
          <t>VÄSTERBOTTENS LÄN</t>
        </is>
      </c>
      <c r="G115" t="inlineStr">
        <is>
          <t>MALÅ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46269</v>
      </c>
      <c r="F116" t="inlineStr">
        <is>
          <t>VÄSTERBOTTENS LÄN</t>
        </is>
      </c>
      <c r="G116" t="inlineStr">
        <is>
          <t>MALÅ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45179</v>
      </c>
      <c r="E117" s="1" t="n">
        <v>46269</v>
      </c>
      <c r="F117" t="inlineStr">
        <is>
          <t>VÄSTERBOTTENS LÄN</t>
        </is>
      </c>
      <c r="G117" t="inlineStr">
        <is>
          <t>MALÅ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32772-2024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45516</v>
      </c>
      <c r="E118" s="1" t="n">
        <v>46269</v>
      </c>
      <c r="F118" t="inlineStr">
        <is>
          <t>VÄSTERBOTTENS LÄN</t>
        </is>
      </c>
      <c r="G118" t="inlineStr">
        <is>
          <t>MALÅ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46269</v>
      </c>
      <c r="F119" t="inlineStr">
        <is>
          <t>VÄSTERBOTTENS LÄN</t>
        </is>
      </c>
      <c r="G119" t="inlineStr">
        <is>
          <t>MALÅ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45139</v>
      </c>
      <c r="E120" s="1" t="n">
        <v>46269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45167</v>
      </c>
      <c r="E121" s="1" t="n">
        <v>46269</v>
      </c>
      <c r="F121" t="inlineStr">
        <is>
          <t>VÄSTERBOTTENS LÄN</t>
        </is>
      </c>
      <c r="G121" t="inlineStr">
        <is>
          <t>MALÅ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45875</v>
      </c>
      <c r="E122" s="1" t="n">
        <v>46269</v>
      </c>
      <c r="F122" t="inlineStr">
        <is>
          <t>VÄSTERBOTTENS LÄN</t>
        </is>
      </c>
      <c r="G122" t="inlineStr">
        <is>
          <t>MALÅ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20234-2023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45054</v>
      </c>
      <c r="E123" s="1" t="n">
        <v>46269</v>
      </c>
      <c r="F123" t="inlineStr">
        <is>
          <t>VÄSTERBOTTENS LÄN</t>
        </is>
      </c>
      <c r="G123" t="inlineStr">
        <is>
          <t>MALÅ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45232</v>
      </c>
      <c r="E124" s="1" t="n">
        <v>46269</v>
      </c>
      <c r="F124" t="inlineStr">
        <is>
          <t>VÄSTERBOTTENS LÄN</t>
        </is>
      </c>
      <c r="G124" t="inlineStr">
        <is>
          <t>MALÅ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46269</v>
      </c>
      <c r="F125" t="inlineStr">
        <is>
          <t>VÄSTERBOTTENS LÄN</t>
        </is>
      </c>
      <c r="G125" t="inlineStr">
        <is>
          <t>MALÅ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45223</v>
      </c>
      <c r="E126" s="1" t="n">
        <v>46269</v>
      </c>
      <c r="F126" t="inlineStr">
        <is>
          <t>VÄSTERBOTTENS LÄN</t>
        </is>
      </c>
      <c r="G126" t="inlineStr">
        <is>
          <t>MALÅ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46269</v>
      </c>
      <c r="F127" t="inlineStr">
        <is>
          <t>VÄSTERBOTTENS LÄN</t>
        </is>
      </c>
      <c r="G127" t="inlineStr">
        <is>
          <t>MALÅ</t>
        </is>
      </c>
      <c r="I127" t="n">
        <v>10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46269</v>
      </c>
      <c r="F128" t="inlineStr">
        <is>
          <t>VÄSTERBOTTENS LÄN</t>
        </is>
      </c>
      <c r="G128" t="inlineStr">
        <is>
          <t>MALÅ</t>
        </is>
      </c>
      <c r="H128" t="inlineStr">
        <is>
          <t>Kyrkan</t>
        </is>
      </c>
      <c r="I128" t="n">
        <v>27.3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46269</v>
      </c>
      <c r="F129" t="inlineStr">
        <is>
          <t>VÄSTERBOTTENS LÄN</t>
        </is>
      </c>
      <c r="G129" t="inlineStr">
        <is>
          <t>MALÅ</t>
        </is>
      </c>
      <c r="H129" t="inlineStr">
        <is>
          <t>Kyrkan</t>
        </is>
      </c>
      <c r="I129" t="n">
        <v>84.5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46269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46269</v>
      </c>
      <c r="F131" t="inlineStr">
        <is>
          <t>VÄSTERBOTTENS LÄN</t>
        </is>
      </c>
      <c r="G131" t="inlineStr">
        <is>
          <t>MALÅ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52480-2023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45225</v>
      </c>
      <c r="E132" s="1" t="n">
        <v>46269</v>
      </c>
      <c r="F132" t="inlineStr">
        <is>
          <t>VÄSTERBOTTENS LÄN</t>
        </is>
      </c>
      <c r="G132" t="inlineStr">
        <is>
          <t>MALÅ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45646</v>
      </c>
      <c r="E133" s="1" t="n">
        <v>46269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46269</v>
      </c>
      <c r="F134" t="inlineStr">
        <is>
          <t>VÄSTERBOTTENS LÄN</t>
        </is>
      </c>
      <c r="G134" t="inlineStr">
        <is>
          <t>MALÅ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45148</v>
      </c>
      <c r="E135" s="1" t="n">
        <v>46269</v>
      </c>
      <c r="F135" t="inlineStr">
        <is>
          <t>VÄSTERBOTTENS LÄN</t>
        </is>
      </c>
      <c r="G135" t="inlineStr">
        <is>
          <t>MALÅ</t>
        </is>
      </c>
      <c r="I135" t="n">
        <v>26.3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45149</v>
      </c>
      <c r="E136" s="1" t="n">
        <v>46269</v>
      </c>
      <c r="F136" t="inlineStr">
        <is>
          <t>VÄSTERBOTTENS LÄN</t>
        </is>
      </c>
      <c r="G136" t="inlineStr">
        <is>
          <t>MALÅ</t>
        </is>
      </c>
      <c r="I136" t="n">
        <v>147.1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46269</v>
      </c>
      <c r="F137" t="inlineStr">
        <is>
          <t>VÄSTERBOTTENS LÄN</t>
        </is>
      </c>
      <c r="G137" t="inlineStr">
        <is>
          <t>MALÅ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46269</v>
      </c>
      <c r="F138" t="inlineStr">
        <is>
          <t>VÄSTERBOTTENS LÄN</t>
        </is>
      </c>
      <c r="G138" t="inlineStr">
        <is>
          <t>MALÅ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45245</v>
      </c>
      <c r="E139" s="1" t="n">
        <v>46269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46269</v>
      </c>
      <c r="F140" t="inlineStr">
        <is>
          <t>VÄSTERBOTTENS LÄN</t>
        </is>
      </c>
      <c r="G140" t="inlineStr">
        <is>
          <t>MALÅ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46269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45152</v>
      </c>
      <c r="E142" s="1" t="n">
        <v>46269</v>
      </c>
      <c r="F142" t="inlineStr">
        <is>
          <t>VÄSTERBOTTENS LÄN</t>
        </is>
      </c>
      <c r="G142" t="inlineStr">
        <is>
          <t>MALÅ</t>
        </is>
      </c>
      <c r="I142" t="n">
        <v>41.7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45369</v>
      </c>
      <c r="E143" s="1" t="n">
        <v>46269</v>
      </c>
      <c r="F143" t="inlineStr">
        <is>
          <t>VÄSTERBOTTENS LÄN</t>
        </is>
      </c>
      <c r="G143" t="inlineStr">
        <is>
          <t>MALÅ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46269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46133</v>
      </c>
      <c r="E145" s="1" t="n">
        <v>46269</v>
      </c>
      <c r="F145" t="inlineStr">
        <is>
          <t>VÄSTERBOTTENS LÄN</t>
        </is>
      </c>
      <c r="G145" t="inlineStr">
        <is>
          <t>MALÅ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46269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55.9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46269</v>
      </c>
      <c r="F147" t="inlineStr">
        <is>
          <t>VÄSTERBOTTENS LÄN</t>
        </is>
      </c>
      <c r="G147" t="inlineStr">
        <is>
          <t>MALÅ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46269</v>
      </c>
      <c r="F148" t="inlineStr">
        <is>
          <t>VÄSTERBOTTENS LÄN</t>
        </is>
      </c>
      <c r="G148" t="inlineStr">
        <is>
          <t>MALÅ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46269</v>
      </c>
      <c r="F149" t="inlineStr">
        <is>
          <t>VÄSTERBOTTENS LÄN</t>
        </is>
      </c>
      <c r="G149" t="inlineStr">
        <is>
          <t>MALÅ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46269</v>
      </c>
      <c r="F150" t="inlineStr">
        <is>
          <t>VÄSTERBOTTENS LÄN</t>
        </is>
      </c>
      <c r="G150" t="inlineStr">
        <is>
          <t>MALÅ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46269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45166</v>
      </c>
      <c r="E152" s="1" t="n">
        <v>46269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46269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46269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45154</v>
      </c>
      <c r="E155" s="1" t="n">
        <v>46269</v>
      </c>
      <c r="F155" t="inlineStr">
        <is>
          <t>VÄSTERBOTTENS LÄN</t>
        </is>
      </c>
      <c r="G155" t="inlineStr">
        <is>
          <t>MALÅ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45502</v>
      </c>
      <c r="E156" s="1" t="n">
        <v>46269</v>
      </c>
      <c r="F156" t="inlineStr">
        <is>
          <t>VÄSTERBOTTENS LÄN</t>
        </is>
      </c>
      <c r="G156" t="inlineStr">
        <is>
          <t>MALÅ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46269</v>
      </c>
      <c r="F157" t="inlineStr">
        <is>
          <t>VÄSTERBOTTENS LÄN</t>
        </is>
      </c>
      <c r="G157" t="inlineStr">
        <is>
          <t>MALÅ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36425-2023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46269</v>
      </c>
      <c r="F158" t="inlineStr">
        <is>
          <t>VÄSTERBOTTENS LÄN</t>
        </is>
      </c>
      <c r="G158" t="inlineStr">
        <is>
          <t>MALÅ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45610</v>
      </c>
      <c r="E159" s="1" t="n">
        <v>46269</v>
      </c>
      <c r="F159" t="inlineStr">
        <is>
          <t>VÄSTERBOTTENS LÄN</t>
        </is>
      </c>
      <c r="G159" t="inlineStr">
        <is>
          <t>MALÅ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46269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46269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46269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40943-2025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45897</v>
      </c>
      <c r="E163" s="1" t="n">
        <v>46269</v>
      </c>
      <c r="F163" t="inlineStr">
        <is>
          <t>VÄSTERBOTTENS LÄN</t>
        </is>
      </c>
      <c r="G163" t="inlineStr">
        <is>
          <t>MALÅ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46269</v>
      </c>
      <c r="F164" t="inlineStr">
        <is>
          <t>VÄSTERBOTTENS LÄN</t>
        </is>
      </c>
      <c r="G164" t="inlineStr">
        <is>
          <t>MALÅ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45750</v>
      </c>
      <c r="E165" s="1" t="n">
        <v>46269</v>
      </c>
      <c r="F165" t="inlineStr">
        <is>
          <t>VÄSTERBOTTENS LÄN</t>
        </is>
      </c>
      <c r="G165" t="inlineStr">
        <is>
          <t>MALÅ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46269</v>
      </c>
      <c r="F166" t="inlineStr">
        <is>
          <t>VÄSTERBOTTENS LÄN</t>
        </is>
      </c>
      <c r="G166" t="inlineStr">
        <is>
          <t>MALÅ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45714</v>
      </c>
      <c r="E167" s="1" t="n">
        <v>46269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18.7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46269</v>
      </c>
      <c r="F168" t="inlineStr">
        <is>
          <t>VÄSTERBOTTENS LÄN</t>
        </is>
      </c>
      <c r="G168" t="inlineStr">
        <is>
          <t>MALÅ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45645</v>
      </c>
      <c r="E169" s="1" t="n">
        <v>46269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46269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30.8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46269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18.2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45154</v>
      </c>
      <c r="E172" s="1" t="n">
        <v>46269</v>
      </c>
      <c r="F172" t="inlineStr">
        <is>
          <t>VÄSTERBOTTENS LÄN</t>
        </is>
      </c>
      <c r="G172" t="inlineStr">
        <is>
          <t>MALÅ</t>
        </is>
      </c>
      <c r="I172" t="n">
        <v>63.5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46269</v>
      </c>
      <c r="F173" t="inlineStr">
        <is>
          <t>VÄSTERBOTTENS LÄN</t>
        </is>
      </c>
      <c r="G173" t="inlineStr">
        <is>
          <t>MALÅ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46269</v>
      </c>
      <c r="F174" t="inlineStr">
        <is>
          <t>VÄSTERBOTTENS LÄN</t>
        </is>
      </c>
      <c r="G174" t="inlineStr">
        <is>
          <t>MALÅ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45201</v>
      </c>
      <c r="E175" s="1" t="n">
        <v>46269</v>
      </c>
      <c r="F175" t="inlineStr">
        <is>
          <t>VÄSTERBOTTENS LÄN</t>
        </is>
      </c>
      <c r="G175" t="inlineStr">
        <is>
          <t>MALÅ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44575</v>
      </c>
      <c r="E176" s="1" t="n">
        <v>46269</v>
      </c>
      <c r="F176" t="inlineStr">
        <is>
          <t>VÄSTERBOTTENS LÄN</t>
        </is>
      </c>
      <c r="G176" t="inlineStr">
        <is>
          <t>MALÅ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60616-2024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46269</v>
      </c>
      <c r="F177" t="inlineStr">
        <is>
          <t>VÄSTERBOTTENS LÄN</t>
        </is>
      </c>
      <c r="G177" t="inlineStr">
        <is>
          <t>MALÅ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46269</v>
      </c>
      <c r="F178" t="inlineStr">
        <is>
          <t>VÄSTERBOTTENS LÄN</t>
        </is>
      </c>
      <c r="G178" t="inlineStr">
        <is>
          <t>MALÅ</t>
        </is>
      </c>
      <c r="I178" t="n">
        <v>17.5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45187</v>
      </c>
      <c r="E179" s="1" t="n">
        <v>46269</v>
      </c>
      <c r="F179" t="inlineStr">
        <is>
          <t>VÄSTERBOTTENS LÄN</t>
        </is>
      </c>
      <c r="G179" t="inlineStr">
        <is>
          <t>MALÅ</t>
        </is>
      </c>
      <c r="H179" t="inlineStr">
        <is>
          <t>SCA</t>
        </is>
      </c>
      <c r="I179" t="n">
        <v>11.5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45189</v>
      </c>
      <c r="E180" s="1" t="n">
        <v>46269</v>
      </c>
      <c r="F180" t="inlineStr">
        <is>
          <t>VÄSTERBOTTENS LÄN</t>
        </is>
      </c>
      <c r="G180" t="inlineStr">
        <is>
          <t>MALÅ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46269</v>
      </c>
      <c r="F181" t="inlineStr">
        <is>
          <t>VÄSTERBOTTENS LÄN</t>
        </is>
      </c>
      <c r="G181" t="inlineStr">
        <is>
          <t>MALÅ</t>
        </is>
      </c>
      <c r="I181" t="n">
        <v>13.3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48034-2025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46269</v>
      </c>
      <c r="F182" t="inlineStr">
        <is>
          <t>VÄSTERBOTTENS LÄN</t>
        </is>
      </c>
      <c r="G182" t="inlineStr">
        <is>
          <t>MALÅ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46269</v>
      </c>
      <c r="F183" t="inlineStr">
        <is>
          <t>VÄSTERBOTTENS LÄN</t>
        </is>
      </c>
      <c r="G183" t="inlineStr">
        <is>
          <t>MALÅ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46269</v>
      </c>
      <c r="F184" t="inlineStr">
        <is>
          <t>VÄSTERBOTTENS LÄN</t>
        </is>
      </c>
      <c r="G184" t="inlineStr">
        <is>
          <t>MALÅ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46269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25.9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46269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46269</v>
      </c>
      <c r="F187" t="inlineStr">
        <is>
          <t>VÄSTERBOTTENS LÄN</t>
        </is>
      </c>
      <c r="G187" t="inlineStr">
        <is>
          <t>MALÅ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46269</v>
      </c>
      <c r="F188" t="inlineStr">
        <is>
          <t>VÄSTERBOTTENS LÄN</t>
        </is>
      </c>
      <c r="G188" t="inlineStr">
        <is>
          <t>MALÅ</t>
        </is>
      </c>
      <c r="H188" t="inlineStr">
        <is>
          <t>SCA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46269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46269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45938</v>
      </c>
      <c r="E191" s="1" t="n">
        <v>46269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45938</v>
      </c>
      <c r="E192" s="1" t="n">
        <v>46269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46269</v>
      </c>
      <c r="F193" t="inlineStr">
        <is>
          <t>VÄSTERBOTTENS LÄN</t>
        </is>
      </c>
      <c r="G193" t="inlineStr">
        <is>
          <t>MALÅ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49070-2025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46269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45937</v>
      </c>
      <c r="E195" s="1" t="n">
        <v>46269</v>
      </c>
      <c r="F195" t="inlineStr">
        <is>
          <t>VÄSTERBOTTENS LÄN</t>
        </is>
      </c>
      <c r="G195" t="inlineStr">
        <is>
          <t>MALÅ</t>
        </is>
      </c>
      <c r="H195" t="inlineStr">
        <is>
          <t>SCA</t>
        </is>
      </c>
      <c r="I195" t="n">
        <v>11.7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46269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46269</v>
      </c>
      <c r="F197" t="inlineStr">
        <is>
          <t>VÄSTERBOTTENS LÄN</t>
        </is>
      </c>
      <c r="G197" t="inlineStr">
        <is>
          <t>MALÅ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45193</v>
      </c>
      <c r="E198" s="1" t="n">
        <v>46269</v>
      </c>
      <c r="F198" t="inlineStr">
        <is>
          <t>VÄSTERBOTTENS LÄN</t>
        </is>
      </c>
      <c r="G198" t="inlineStr">
        <is>
          <t>MALÅ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46269</v>
      </c>
      <c r="F199" t="inlineStr">
        <is>
          <t>VÄSTERBOTTENS LÄN</t>
        </is>
      </c>
      <c r="G199" t="inlineStr">
        <is>
          <t>MALÅ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46269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15.3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45939</v>
      </c>
      <c r="E201" s="1" t="n">
        <v>46269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46269</v>
      </c>
      <c r="F202" t="inlineStr">
        <is>
          <t>VÄSTERBOTTENS LÄN</t>
        </is>
      </c>
      <c r="G202" t="inlineStr">
        <is>
          <t>MALÅ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46269</v>
      </c>
      <c r="F203" t="inlineStr">
        <is>
          <t>VÄSTERBOTTENS LÄN</t>
        </is>
      </c>
      <c r="G203" t="inlineStr">
        <is>
          <t>MALÅ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46269</v>
      </c>
      <c r="F204" t="inlineStr">
        <is>
          <t>VÄSTERBOTTENS LÄN</t>
        </is>
      </c>
      <c r="G204" t="inlineStr">
        <is>
          <t>MALÅ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46269</v>
      </c>
      <c r="F205" t="inlineStr">
        <is>
          <t>VÄSTERBOTTENS LÄN</t>
        </is>
      </c>
      <c r="G205" t="inlineStr">
        <is>
          <t>MALÅ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46269</v>
      </c>
      <c r="F206" t="inlineStr">
        <is>
          <t>VÄSTERBOTTENS LÄN</t>
        </is>
      </c>
      <c r="G206" t="inlineStr">
        <is>
          <t>MALÅ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45719</v>
      </c>
      <c r="E207" s="1" t="n">
        <v>46269</v>
      </c>
      <c r="F207" t="inlineStr">
        <is>
          <t>VÄSTERBOTTENS LÄN</t>
        </is>
      </c>
      <c r="G207" t="inlineStr">
        <is>
          <t>MALÅ</t>
        </is>
      </c>
      <c r="I207" t="n">
        <v>9.300000000000001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45952</v>
      </c>
      <c r="E208" s="1" t="n">
        <v>46269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46269</v>
      </c>
      <c r="F209" t="inlineStr">
        <is>
          <t>VÄSTERBOTTENS LÄN</t>
        </is>
      </c>
      <c r="G209" t="inlineStr">
        <is>
          <t>MALÅ</t>
        </is>
      </c>
      <c r="I209" t="n">
        <v>18.6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46269</v>
      </c>
      <c r="F210" t="inlineStr">
        <is>
          <t>VÄSTERBOTTENS LÄN</t>
        </is>
      </c>
      <c r="G210" t="inlineStr">
        <is>
          <t>MALÅ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46269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46269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45952</v>
      </c>
      <c r="E213" s="1" t="n">
        <v>46269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46269</v>
      </c>
      <c r="F214" t="inlineStr">
        <is>
          <t>VÄSTERBOTTENS LÄN</t>
        </is>
      </c>
      <c r="G214" t="inlineStr">
        <is>
          <t>MALÅ</t>
        </is>
      </c>
      <c r="H214" t="inlineStr">
        <is>
          <t>SCA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46269</v>
      </c>
      <c r="F215" t="inlineStr">
        <is>
          <t>VÄSTERBOTTENS LÄN</t>
        </is>
      </c>
      <c r="G215" t="inlineStr">
        <is>
          <t>MALÅ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46269</v>
      </c>
      <c r="F216" t="inlineStr">
        <is>
          <t>VÄSTERBOTTENS LÄN</t>
        </is>
      </c>
      <c r="G216" t="inlineStr">
        <is>
          <t>MALÅ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46269</v>
      </c>
      <c r="F217" t="inlineStr">
        <is>
          <t>VÄSTERBOTTENS LÄN</t>
        </is>
      </c>
      <c r="G217" t="inlineStr">
        <is>
          <t>MALÅ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46269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46269</v>
      </c>
      <c r="F219" t="inlineStr">
        <is>
          <t>VÄSTERBOTTENS LÄN</t>
        </is>
      </c>
      <c r="G219" t="inlineStr">
        <is>
          <t>MALÅ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46269</v>
      </c>
      <c r="F220" t="inlineStr">
        <is>
          <t>VÄSTERBOTTENS LÄN</t>
        </is>
      </c>
      <c r="G220" t="inlineStr">
        <is>
          <t>MALÅ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54064-2025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46269</v>
      </c>
      <c r="F221" t="inlineStr">
        <is>
          <t>VÄSTERBOTTENS LÄN</t>
        </is>
      </c>
      <c r="G221" t="inlineStr">
        <is>
          <t>MALÅ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46269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46269</v>
      </c>
      <c r="F223" t="inlineStr">
        <is>
          <t>VÄSTERBOTTENS LÄN</t>
        </is>
      </c>
      <c r="G223" t="inlineStr">
        <is>
          <t>MALÅ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46269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11.9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46269</v>
      </c>
      <c r="F225" t="inlineStr">
        <is>
          <t>VÄSTERBOTTENS LÄN</t>
        </is>
      </c>
      <c r="G225" t="inlineStr">
        <is>
          <t>MALÅ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54463-2025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45964</v>
      </c>
      <c r="E226" s="1" t="n">
        <v>46269</v>
      </c>
      <c r="F226" t="inlineStr">
        <is>
          <t>VÄSTERBOTTENS LÄN</t>
        </is>
      </c>
      <c r="G226" t="inlineStr">
        <is>
          <t>MALÅ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54455-2025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45964</v>
      </c>
      <c r="E227" s="1" t="n">
        <v>46269</v>
      </c>
      <c r="F227" t="inlineStr">
        <is>
          <t>VÄSTERBOTTENS LÄN</t>
        </is>
      </c>
      <c r="G227" t="inlineStr">
        <is>
          <t>MALÅ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56102-2025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46269</v>
      </c>
      <c r="F228" t="inlineStr">
        <is>
          <t>VÄSTERBOTTENS LÄN</t>
        </is>
      </c>
      <c r="G228" t="inlineStr">
        <is>
          <t>MALÅ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45985</v>
      </c>
      <c r="E229" s="1" t="n">
        <v>46269</v>
      </c>
      <c r="F229" t="inlineStr">
        <is>
          <t>VÄSTERBOTTENS LÄN</t>
        </is>
      </c>
      <c r="G229" t="inlineStr">
        <is>
          <t>MALÅ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46269</v>
      </c>
      <c r="F230" t="inlineStr">
        <is>
          <t>VÄSTERBOTTENS LÄN</t>
        </is>
      </c>
      <c r="G230" t="inlineStr">
        <is>
          <t>MALÅ</t>
        </is>
      </c>
      <c r="I230" t="n">
        <v>20.7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46269</v>
      </c>
      <c r="F231" t="inlineStr">
        <is>
          <t>VÄSTERBOTTENS LÄN</t>
        </is>
      </c>
      <c r="G231" t="inlineStr">
        <is>
          <t>MALÅ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45987</v>
      </c>
      <c r="E232" s="1" t="n">
        <v>46269</v>
      </c>
      <c r="F232" t="inlineStr">
        <is>
          <t>VÄSTERBOTTENS LÄN</t>
        </is>
      </c>
      <c r="G232" t="inlineStr">
        <is>
          <t>MALÅ</t>
        </is>
      </c>
      <c r="I232" t="n">
        <v>19.2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46269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46269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46269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46269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45989</v>
      </c>
      <c r="E237" s="1" t="n">
        <v>46269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46269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12.4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45541</v>
      </c>
      <c r="E239" s="1" t="n">
        <v>46269</v>
      </c>
      <c r="F239" t="inlineStr">
        <is>
          <t>VÄSTERBOTTENS LÄN</t>
        </is>
      </c>
      <c r="G239" t="inlineStr">
        <is>
          <t>MALÅ</t>
        </is>
      </c>
      <c r="I239" t="n">
        <v>13.3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46269</v>
      </c>
      <c r="F240" t="inlineStr">
        <is>
          <t>VÄSTERBOTTENS LÄN</t>
        </is>
      </c>
      <c r="G240" t="inlineStr">
        <is>
          <t>MALÅ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46269</v>
      </c>
      <c r="F241" t="inlineStr">
        <is>
          <t>VÄSTERBOTTENS LÄN</t>
        </is>
      </c>
      <c r="G241" t="inlineStr">
        <is>
          <t>MALÅ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68036-2021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46269</v>
      </c>
      <c r="F242" t="inlineStr">
        <is>
          <t>VÄSTERBOTTENS LÄN</t>
        </is>
      </c>
      <c r="G242" t="inlineStr">
        <is>
          <t>MALÅ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46269</v>
      </c>
      <c r="F243" t="inlineStr">
        <is>
          <t>VÄSTERBOTTENS LÄN</t>
        </is>
      </c>
      <c r="G243" t="inlineStr">
        <is>
          <t>MALÅ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46269</v>
      </c>
      <c r="F244" t="inlineStr">
        <is>
          <t>VÄSTERBOTTENS LÄN</t>
        </is>
      </c>
      <c r="G244" t="inlineStr">
        <is>
          <t>MALÅ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46269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46269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46269</v>
      </c>
      <c r="F247" t="inlineStr">
        <is>
          <t>VÄSTERBOTTENS LÄN</t>
        </is>
      </c>
      <c r="G247" t="inlineStr">
        <is>
          <t>MALÅ</t>
        </is>
      </c>
      <c r="I247" t="n">
        <v>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46269</v>
      </c>
      <c r="F248" t="inlineStr">
        <is>
          <t>VÄSTERBOTTENS LÄN</t>
        </is>
      </c>
      <c r="G248" t="inlineStr">
        <is>
          <t>MALÅ</t>
        </is>
      </c>
      <c r="I248" t="n">
        <v>19.5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46269</v>
      </c>
      <c r="F249" t="inlineStr">
        <is>
          <t>VÄSTERBOTTENS LÄN</t>
        </is>
      </c>
      <c r="G249" t="inlineStr">
        <is>
          <t>MALÅ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45158</v>
      </c>
      <c r="E250" s="1" t="n">
        <v>46269</v>
      </c>
      <c r="F250" t="inlineStr">
        <is>
          <t>VÄSTERBOTTENS LÄN</t>
        </is>
      </c>
      <c r="G250" t="inlineStr">
        <is>
          <t>MALÅ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46269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46269</v>
      </c>
      <c r="F252" t="inlineStr">
        <is>
          <t>VÄSTERBOTTENS LÄN</t>
        </is>
      </c>
      <c r="G252" t="inlineStr">
        <is>
          <t>MALÅ</t>
        </is>
      </c>
      <c r="I252" t="n">
        <v>41.2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45212</v>
      </c>
      <c r="E253" s="1" t="n">
        <v>46269</v>
      </c>
      <c r="F253" t="inlineStr">
        <is>
          <t>VÄSTERBOTTENS LÄN</t>
        </is>
      </c>
      <c r="G253" t="inlineStr">
        <is>
          <t>MALÅ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46269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46269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46269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46189</v>
      </c>
      <c r="E257" s="1" t="n">
        <v>46269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46269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46269</v>
      </c>
      <c r="F259" t="inlineStr">
        <is>
          <t>VÄSTERBOTTENS LÄN</t>
        </is>
      </c>
      <c r="G259" t="inlineStr">
        <is>
          <t>MALÅ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46232</v>
      </c>
      <c r="E260" s="1" t="n">
        <v>46269</v>
      </c>
      <c r="F260" t="inlineStr">
        <is>
          <t>VÄSTERBOTTENS LÄN</t>
        </is>
      </c>
      <c r="G260" t="inlineStr">
        <is>
          <t>MALÅ</t>
        </is>
      </c>
      <c r="H260" t="inlineStr">
        <is>
          <t>SCA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12680-2022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44641</v>
      </c>
      <c r="E261" s="1" t="n">
        <v>46269</v>
      </c>
      <c r="F261" t="inlineStr">
        <is>
          <t>VÄSTERBOTTENS LÄN</t>
        </is>
      </c>
      <c r="G261" t="inlineStr">
        <is>
          <t>MALÅ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46269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2116-2023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44939</v>
      </c>
      <c r="E263" s="1" t="n">
        <v>46269</v>
      </c>
      <c r="F263" t="inlineStr">
        <is>
          <t>VÄSTERBOTTENS LÄN</t>
        </is>
      </c>
      <c r="G263" t="inlineStr">
        <is>
          <t>MALÅ</t>
        </is>
      </c>
      <c r="H263" t="inlineStr">
        <is>
          <t>SCA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46269</v>
      </c>
      <c r="F264" t="inlineStr">
        <is>
          <t>VÄSTERBOTTENS LÄN</t>
        </is>
      </c>
      <c r="G264" t="inlineStr">
        <is>
          <t>MALÅ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46027</v>
      </c>
      <c r="E265" s="1" t="n">
        <v>46269</v>
      </c>
      <c r="F265" t="inlineStr">
        <is>
          <t>VÄSTERBOTTENS LÄN</t>
        </is>
      </c>
      <c r="G265" t="inlineStr">
        <is>
          <t>MALÅ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46269</v>
      </c>
      <c r="F266" t="inlineStr">
        <is>
          <t>VÄSTERBOTTENS LÄN</t>
        </is>
      </c>
      <c r="G266" t="inlineStr">
        <is>
          <t>MALÅ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46269</v>
      </c>
      <c r="F267" t="inlineStr">
        <is>
          <t>VÄSTERBOTTENS LÄN</t>
        </is>
      </c>
      <c r="G267" t="inlineStr">
        <is>
          <t>MALÅ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46269</v>
      </c>
      <c r="F268" t="inlineStr">
        <is>
          <t>VÄSTERBOTTENS LÄN</t>
        </is>
      </c>
      <c r="G268" t="inlineStr">
        <is>
          <t>MALÅ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46269</v>
      </c>
      <c r="F269" t="inlineStr">
        <is>
          <t>VÄSTERBOTTENS LÄN</t>
        </is>
      </c>
      <c r="G269" t="inlineStr">
        <is>
          <t>MALÅ</t>
        </is>
      </c>
      <c r="I269" t="n">
        <v>10.8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46031</v>
      </c>
      <c r="E270" s="1" t="n">
        <v>46269</v>
      </c>
      <c r="F270" t="inlineStr">
        <is>
          <t>VÄSTERBOTTENS LÄN</t>
        </is>
      </c>
      <c r="G270" t="inlineStr">
        <is>
          <t>MALÅ</t>
        </is>
      </c>
      <c r="I270" t="n">
        <v>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46269</v>
      </c>
      <c r="F271" t="inlineStr">
        <is>
          <t>VÄSTERBOTTENS LÄN</t>
        </is>
      </c>
      <c r="G271" t="inlineStr">
        <is>
          <t>MALÅ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46035</v>
      </c>
      <c r="E272" s="1" t="n">
        <v>46269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3471-2026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46042</v>
      </c>
      <c r="E273" s="1" t="n">
        <v>46269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46269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46198</v>
      </c>
      <c r="E275" s="1" t="n">
        <v>46269</v>
      </c>
      <c r="F275" t="inlineStr">
        <is>
          <t>VÄSTERBOTTENS LÄN</t>
        </is>
      </c>
      <c r="G275" t="inlineStr">
        <is>
          <t>MALÅ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46269</v>
      </c>
      <c r="F276" t="inlineStr">
        <is>
          <t>VÄSTERBOTTENS LÄN</t>
        </is>
      </c>
      <c r="G276" t="inlineStr">
        <is>
          <t>MALÅ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45171</v>
      </c>
      <c r="E277" s="1" t="n">
        <v>46269</v>
      </c>
      <c r="F277" t="inlineStr">
        <is>
          <t>VÄSTERBOTTENS LÄN</t>
        </is>
      </c>
      <c r="G277" t="inlineStr">
        <is>
          <t>MALÅ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45184</v>
      </c>
      <c r="E278" s="1" t="n">
        <v>46269</v>
      </c>
      <c r="F278" t="inlineStr">
        <is>
          <t>VÄSTERBOTTENS LÄN</t>
        </is>
      </c>
      <c r="G278" t="inlineStr">
        <is>
          <t>MALÅ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46269</v>
      </c>
      <c r="F279" t="inlineStr">
        <is>
          <t>VÄSTERBOTTENS LÄN</t>
        </is>
      </c>
      <c r="G279" t="inlineStr">
        <is>
          <t>MALÅ</t>
        </is>
      </c>
      <c r="I279" t="n">
        <v>27.9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46269</v>
      </c>
      <c r="F280" t="inlineStr">
        <is>
          <t>VÄSTERBOTTENS LÄN</t>
        </is>
      </c>
      <c r="G280" t="inlineStr">
        <is>
          <t>MALÅ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26853-2026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46185</v>
      </c>
      <c r="E281" s="1" t="n">
        <v>46269</v>
      </c>
      <c r="F281" t="inlineStr">
        <is>
          <t>VÄSTERBOTTENS LÄN</t>
        </is>
      </c>
      <c r="G281" t="inlineStr">
        <is>
          <t>MALÅ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45660</v>
      </c>
      <c r="E282" s="1" t="n">
        <v>46269</v>
      </c>
      <c r="F282" t="inlineStr">
        <is>
          <t>VÄSTERBOTTENS LÄN</t>
        </is>
      </c>
      <c r="G282" t="inlineStr">
        <is>
          <t>MALÅ</t>
        </is>
      </c>
      <c r="I282" t="n">
        <v>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46269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37.2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46248</v>
      </c>
      <c r="E284" s="1" t="n">
        <v>46269</v>
      </c>
      <c r="F284" t="inlineStr">
        <is>
          <t>VÄSTERBOTTENS LÄN</t>
        </is>
      </c>
      <c r="G284" t="inlineStr">
        <is>
          <t>MALÅ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46246</v>
      </c>
      <c r="E285" s="1" t="n">
        <v>46269</v>
      </c>
      <c r="F285" t="inlineStr">
        <is>
          <t>VÄSTERBOTTENS LÄN</t>
        </is>
      </c>
      <c r="G285" t="inlineStr">
        <is>
          <t>MALÅ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46246</v>
      </c>
      <c r="E286" s="1" t="n">
        <v>46269</v>
      </c>
      <c r="F286" t="inlineStr">
        <is>
          <t>VÄSTERBOTTENS LÄN</t>
        </is>
      </c>
      <c r="G286" t="inlineStr">
        <is>
          <t>MALÅ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46269</v>
      </c>
      <c r="F287" t="inlineStr">
        <is>
          <t>VÄSTERBOTTENS LÄN</t>
        </is>
      </c>
      <c r="G287" t="inlineStr">
        <is>
          <t>MALÅ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8648-2026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46066</v>
      </c>
      <c r="E288" s="1" t="n">
        <v>46269</v>
      </c>
      <c r="F288" t="inlineStr">
        <is>
          <t>VÄSTERBOTTENS LÄN</t>
        </is>
      </c>
      <c r="G288" t="inlineStr">
        <is>
          <t>MALÅ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46269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46269</v>
      </c>
      <c r="F290" t="inlineStr">
        <is>
          <t>VÄSTERBOTTENS LÄN</t>
        </is>
      </c>
      <c r="G290" t="inlineStr">
        <is>
          <t>MALÅ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46269</v>
      </c>
      <c r="F291" t="inlineStr">
        <is>
          <t>VÄSTERBOTTENS LÄN</t>
        </is>
      </c>
      <c r="G291" t="inlineStr">
        <is>
          <t>MALÅ</t>
        </is>
      </c>
      <c r="I291" t="n">
        <v>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46269</v>
      </c>
      <c r="F292" t="inlineStr">
        <is>
          <t>VÄSTERBOTTENS LÄN</t>
        </is>
      </c>
      <c r="G292" t="inlineStr">
        <is>
          <t>MALÅ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46269</v>
      </c>
      <c r="F293" t="inlineStr">
        <is>
          <t>VÄSTERBOTTENS LÄN</t>
        </is>
      </c>
      <c r="G293" t="inlineStr">
        <is>
          <t>MALÅ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46251</v>
      </c>
      <c r="E294" s="1" t="n">
        <v>46269</v>
      </c>
      <c r="F294" t="inlineStr">
        <is>
          <t>VÄSTERBOTTENS LÄN</t>
        </is>
      </c>
      <c r="G294" t="inlineStr">
        <is>
          <t>MALÅ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30502-2026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46210</v>
      </c>
      <c r="E295" s="1" t="n">
        <v>46269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46269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18.4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46269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46253</v>
      </c>
      <c r="E298" s="1" t="n">
        <v>46269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46253</v>
      </c>
      <c r="E299" s="1" t="n">
        <v>46269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46269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46269</v>
      </c>
      <c r="F301" t="inlineStr">
        <is>
          <t>VÄSTERBOTTENS LÄN</t>
        </is>
      </c>
      <c r="G301" t="inlineStr">
        <is>
          <t>MALÅ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46269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45154</v>
      </c>
      <c r="E303" s="1" t="n">
        <v>46269</v>
      </c>
      <c r="F303" t="inlineStr">
        <is>
          <t>VÄSTERBOTTENS LÄN</t>
        </is>
      </c>
      <c r="G303" t="inlineStr">
        <is>
          <t>MALÅ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44426-2023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45188</v>
      </c>
      <c r="E304" s="1" t="n">
        <v>46269</v>
      </c>
      <c r="F304" t="inlineStr">
        <is>
          <t>VÄSTERBOTTENS LÄN</t>
        </is>
      </c>
      <c r="G304" t="inlineStr">
        <is>
          <t>MALÅ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45176</v>
      </c>
      <c r="E305" s="1" t="n">
        <v>46269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46269</v>
      </c>
      <c r="F306" t="inlineStr">
        <is>
          <t>VÄSTERBOTTENS LÄN</t>
        </is>
      </c>
      <c r="G306" t="inlineStr">
        <is>
          <t>MALÅ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45638</v>
      </c>
      <c r="E307" s="1" t="n">
        <v>46269</v>
      </c>
      <c r="F307" t="inlineStr">
        <is>
          <t>VÄSTERBOTTENS LÄN</t>
        </is>
      </c>
      <c r="G307" t="inlineStr">
        <is>
          <t>MALÅ</t>
        </is>
      </c>
      <c r="I307" t="n">
        <v>11.4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67679-2021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44524</v>
      </c>
      <c r="E308" s="1" t="n">
        <v>46269</v>
      </c>
      <c r="F308" t="inlineStr">
        <is>
          <t>VÄSTERBOTTENS LÄN</t>
        </is>
      </c>
      <c r="G308" t="inlineStr">
        <is>
          <t>MALÅ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13773-2026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46269</v>
      </c>
      <c r="F309" t="inlineStr">
        <is>
          <t>VÄSTERBOTTENS LÄN</t>
        </is>
      </c>
      <c r="G309" t="inlineStr">
        <is>
          <t>MALÅ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13775-2026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46097</v>
      </c>
      <c r="E310" s="1" t="n">
        <v>46269</v>
      </c>
      <c r="F310" t="inlineStr">
        <is>
          <t>VÄSTERBOTTENS LÄN</t>
        </is>
      </c>
      <c r="G310" t="inlineStr">
        <is>
          <t>MALÅ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40588-2023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46269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45625</v>
      </c>
      <c r="E312" s="1" t="n">
        <v>46269</v>
      </c>
      <c r="F312" t="inlineStr">
        <is>
          <t>VÄSTERBOTTENS LÄN</t>
        </is>
      </c>
      <c r="G312" t="inlineStr">
        <is>
          <t>MALÅ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45204</v>
      </c>
      <c r="E313" s="1" t="n">
        <v>46269</v>
      </c>
      <c r="F313" t="inlineStr">
        <is>
          <t>VÄSTERBOTTENS LÄN</t>
        </is>
      </c>
      <c r="G313" t="inlineStr">
        <is>
          <t>MALÅ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46269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46269</v>
      </c>
      <c r="F315" t="inlineStr">
        <is>
          <t>VÄSTERBOTTENS LÄN</t>
        </is>
      </c>
      <c r="G315" t="inlineStr">
        <is>
          <t>MALÅ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46269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46269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60624-2024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45642</v>
      </c>
      <c r="E318" s="1" t="n">
        <v>46269</v>
      </c>
      <c r="F318" t="inlineStr">
        <is>
          <t>VÄSTERBOTTENS LÄN</t>
        </is>
      </c>
      <c r="G318" t="inlineStr">
        <is>
          <t>MALÅ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45667</v>
      </c>
      <c r="E319" s="1" t="n">
        <v>46269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45595</v>
      </c>
      <c r="E320" s="1" t="n">
        <v>46269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46269</v>
      </c>
      <c r="F321" t="inlineStr">
        <is>
          <t>VÄSTERBOTTENS LÄN</t>
        </is>
      </c>
      <c r="G321" t="inlineStr">
        <is>
          <t>MALÅ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46223</v>
      </c>
      <c r="E322" s="1" t="n">
        <v>46269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31535-2026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46223</v>
      </c>
      <c r="E323" s="1" t="n">
        <v>46269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54437-2023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46269</v>
      </c>
      <c r="F324" t="inlineStr">
        <is>
          <t>VÄSTERBOTTENS LÄN</t>
        </is>
      </c>
      <c r="G324" t="inlineStr">
        <is>
          <t>MALÅ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17020-2026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46114</v>
      </c>
      <c r="E325" s="1" t="n">
        <v>46269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19.7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45178</v>
      </c>
      <c r="E326" s="1" t="n">
        <v>46269</v>
      </c>
      <c r="F326" t="inlineStr">
        <is>
          <t>VÄSTERBOTTENS LÄN</t>
        </is>
      </c>
      <c r="G326" t="inlineStr">
        <is>
          <t>MALÅ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46269</v>
      </c>
      <c r="F327" t="inlineStr">
        <is>
          <t>VÄSTERBOTTENS LÄN</t>
        </is>
      </c>
      <c r="G327" t="inlineStr">
        <is>
          <t>MALÅ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45210</v>
      </c>
      <c r="E328" s="1" t="n">
        <v>46269</v>
      </c>
      <c r="F328" t="inlineStr">
        <is>
          <t>VÄSTERBOTTENS LÄN</t>
        </is>
      </c>
      <c r="G328" t="inlineStr">
        <is>
          <t>MALÅ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55507-2024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45622</v>
      </c>
      <c r="E329" s="1" t="n">
        <v>46269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45227</v>
      </c>
      <c r="E330" s="1" t="n">
        <v>46269</v>
      </c>
      <c r="F330" t="inlineStr">
        <is>
          <t>VÄSTERBOTTENS LÄN</t>
        </is>
      </c>
      <c r="G330" t="inlineStr">
        <is>
          <t>MALÅ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41126-2023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46269</v>
      </c>
      <c r="F331" t="inlineStr">
        <is>
          <t>VÄSTERBOTTENS LÄN</t>
        </is>
      </c>
      <c r="G331" t="inlineStr">
        <is>
          <t>MALÅ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45219</v>
      </c>
      <c r="E332" s="1" t="n">
        <v>46269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51573-2023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46269</v>
      </c>
      <c r="F333" t="inlineStr">
        <is>
          <t>VÄSTERBOTTENS LÄN</t>
        </is>
      </c>
      <c r="G333" t="inlineStr">
        <is>
          <t>MALÅ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44911</v>
      </c>
      <c r="E334" s="1" t="n">
        <v>46269</v>
      </c>
      <c r="F334" t="inlineStr">
        <is>
          <t>VÄSTERBOTTENS LÄN</t>
        </is>
      </c>
      <c r="G334" t="inlineStr">
        <is>
          <t>MALÅ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45111</v>
      </c>
      <c r="E335" s="1" t="n">
        <v>46269</v>
      </c>
      <c r="F335" t="inlineStr">
        <is>
          <t>VÄSTERBOTTENS LÄN</t>
        </is>
      </c>
      <c r="G335" t="inlineStr">
        <is>
          <t>MALÅ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45175</v>
      </c>
      <c r="E336" s="1" t="n">
        <v>46269</v>
      </c>
      <c r="F336" t="inlineStr">
        <is>
          <t>VÄSTERBOTTENS LÄN</t>
        </is>
      </c>
      <c r="G336" t="inlineStr">
        <is>
          <t>MALÅ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45688</v>
      </c>
      <c r="E337" s="1" t="n">
        <v>46269</v>
      </c>
      <c r="F337" t="inlineStr">
        <is>
          <t>VÄSTERBOTTENS LÄN</t>
        </is>
      </c>
      <c r="G337" t="inlineStr">
        <is>
          <t>MALÅ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45159</v>
      </c>
      <c r="E338" s="1" t="n">
        <v>46269</v>
      </c>
      <c r="F338" t="inlineStr">
        <is>
          <t>VÄSTERBOTTENS LÄN</t>
        </is>
      </c>
      <c r="G338" t="inlineStr">
        <is>
          <t>MALÅ</t>
        </is>
      </c>
      <c r="I338" t="n">
        <v>30.4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45636</v>
      </c>
      <c r="E339" s="1" t="n">
        <v>46269</v>
      </c>
      <c r="F339" t="inlineStr">
        <is>
          <t>VÄSTERBOTTENS LÄN</t>
        </is>
      </c>
      <c r="G339" t="inlineStr">
        <is>
          <t>MALÅ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46269</v>
      </c>
      <c r="F340" t="inlineStr">
        <is>
          <t>VÄSTERBOTTENS LÄN</t>
        </is>
      </c>
      <c r="G340" t="inlineStr">
        <is>
          <t>MALÅ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>
      <c r="A341" t="inlineStr">
        <is>
          <t>S 894-2022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44607</v>
      </c>
      <c r="E341" s="1" t="n">
        <v>46269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86.3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2026-09-04T02:05:12Z</dcterms:created>
  <dcterms:modified xmlns:dcterms="http://purl.org/dc/terms/" xmlns:xsi="http://www.w3.org/2001/XMLSchema-instance" xsi:type="dcterms:W3CDTF">2026-09-04T02:05:12Z</dcterms:modified>
</cp:coreProperties>
</file>