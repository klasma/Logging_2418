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46317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46317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46317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46317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46317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46317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46317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46317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43367-2026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46314</v>
      </c>
      <c r="E15" s="1" t="n">
        <v>46317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7.8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kolflarnlav</t>
        </is>
      </c>
      <c r="W15">
        <f>HYPERLINK("https://klasma.github.io/Logging_2418/artfynd/A 43367-2026 artfynd.xlsx", "A 43367-2026")</f>
        <v/>
      </c>
      <c r="X15">
        <f>HYPERLINK("https://klasma.github.io/Logging_2418/kartor/A 43367-2026 karta.png", "A 43367-2026")</f>
        <v/>
      </c>
      <c r="Y15">
        <f>HYPERLINK("https://klasma.github.io/Logging_2418/kartor_geotiff/A 43367-2026 georefererad karta.tif", "A 43367-2026")</f>
        <v/>
      </c>
      <c r="AA15">
        <f>HYPERLINK("https://klasma.github.io/Logging_2418/klagomål/A 43367-2026 FSC-klagomål.docx", "A 43367-2026")</f>
        <v/>
      </c>
      <c r="AB15">
        <f>HYPERLINK("https://klasma.github.io/Logging_2418/klagomålsmail/A 43367-2026 FSC-klagomål mail.docx", "A 43367-2026")</f>
        <v/>
      </c>
      <c r="AC15">
        <f>HYPERLINK("https://klasma.github.io/Logging_2418/tillsyn/A 43367-2026 tillsynsbegäran.docx", "A 43367-2026")</f>
        <v/>
      </c>
      <c r="AD15">
        <f>HYPERLINK("https://klasma.github.io/Logging_2418/tillsynsmail/A 43367-2026 tillsynsbegäran mail.docx", "A 43367-2026")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46317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46317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46317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46317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46317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46317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46317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45252</v>
      </c>
      <c r="E23" s="1" t="n">
        <v>46317</v>
      </c>
      <c r="F23" t="inlineStr">
        <is>
          <t>VÄSTERBOTTENS LÄN</t>
        </is>
      </c>
      <c r="G23" t="inlineStr">
        <is>
          <t>MALÅ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46317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14280-2024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46317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12857-2024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45384</v>
      </c>
      <c r="E26" s="1" t="n">
        <v>46317</v>
      </c>
      <c r="F26" t="inlineStr">
        <is>
          <t>VÄSTERBOTTENS LÄN</t>
        </is>
      </c>
      <c r="G26" t="inlineStr">
        <is>
          <t>MALÅ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46317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13004-2023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46317</v>
      </c>
      <c r="F28" t="inlineStr">
        <is>
          <t>VÄSTERBOTTENS LÄN</t>
        </is>
      </c>
      <c r="G28" t="inlineStr">
        <is>
          <t>MALÅ</t>
        </is>
      </c>
      <c r="H28" t="inlineStr">
        <is>
          <t>SCA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44889</v>
      </c>
      <c r="E29" s="1" t="n">
        <v>46317</v>
      </c>
      <c r="F29" t="inlineStr">
        <is>
          <t>VÄSTERBOTTENS LÄN</t>
        </is>
      </c>
      <c r="G29" t="inlineStr">
        <is>
          <t>MALÅ</t>
        </is>
      </c>
      <c r="I29" t="n">
        <v>10.2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59801-2021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44491</v>
      </c>
      <c r="E30" s="1" t="n">
        <v>46317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67383-2021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46317</v>
      </c>
      <c r="F31" t="inlineStr">
        <is>
          <t>VÄSTERBOTTENS LÄN</t>
        </is>
      </c>
      <c r="G31" t="inlineStr">
        <is>
          <t>MALÅ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46317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32979-2024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46317</v>
      </c>
      <c r="F33" t="inlineStr">
        <is>
          <t>VÄSTERBOTTENS LÄN</t>
        </is>
      </c>
      <c r="G33" t="inlineStr">
        <is>
          <t>MALÅ</t>
        </is>
      </c>
      <c r="I33" t="n">
        <v>15.5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45189</v>
      </c>
      <c r="E34" s="1" t="n">
        <v>46317</v>
      </c>
      <c r="F34" t="inlineStr">
        <is>
          <t>VÄSTERBOTTENS LÄN</t>
        </is>
      </c>
      <c r="G34" t="inlineStr">
        <is>
          <t>MALÅ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46989-2023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45201</v>
      </c>
      <c r="E35" s="1" t="n">
        <v>46317</v>
      </c>
      <c r="F35" t="inlineStr">
        <is>
          <t>VÄSTERBOTTENS LÄN</t>
        </is>
      </c>
      <c r="G35" t="inlineStr">
        <is>
          <t>MALÅ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45219</v>
      </c>
      <c r="E36" s="1" t="n">
        <v>46317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46317</v>
      </c>
      <c r="F37" t="inlineStr">
        <is>
          <t>VÄSTERBOTTENS LÄN</t>
        </is>
      </c>
      <c r="G37" t="inlineStr">
        <is>
          <t>MALÅ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46317</v>
      </c>
      <c r="F38" t="inlineStr">
        <is>
          <t>VÄSTERBOTTENS LÄN</t>
        </is>
      </c>
      <c r="G38" t="inlineStr">
        <is>
          <t>MALÅ</t>
        </is>
      </c>
      <c r="I38" t="n">
        <v>41.7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36676-2023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46317</v>
      </c>
      <c r="F39" t="inlineStr">
        <is>
          <t>VÄSTERBOTTENS LÄN</t>
        </is>
      </c>
      <c r="G39" t="inlineStr">
        <is>
          <t>MALÅ</t>
        </is>
      </c>
      <c r="I39" t="n">
        <v>16.6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51723-2023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45222</v>
      </c>
      <c r="E40" s="1" t="n">
        <v>46317</v>
      </c>
      <c r="F40" t="inlineStr">
        <is>
          <t>VÄSTERBOTTENS LÄN</t>
        </is>
      </c>
      <c r="G40" t="inlineStr">
        <is>
          <t>MALÅ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46317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14.3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46317</v>
      </c>
      <c r="F42" t="inlineStr">
        <is>
          <t>VÄSTERBOTTENS LÄN</t>
        </is>
      </c>
      <c r="G42" t="inlineStr">
        <is>
          <t>MALÅ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46317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13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45890</v>
      </c>
      <c r="E44" s="1" t="n">
        <v>46317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46317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2116-2023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44939</v>
      </c>
      <c r="E46" s="1" t="n">
        <v>46317</v>
      </c>
      <c r="F46" t="inlineStr">
        <is>
          <t>VÄSTERBOTTENS LÄN</t>
        </is>
      </c>
      <c r="G46" t="inlineStr">
        <is>
          <t>MALÅ</t>
        </is>
      </c>
      <c r="H46" t="inlineStr">
        <is>
          <t>SCA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24925-2025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46317</v>
      </c>
      <c r="F47" t="inlineStr">
        <is>
          <t>VÄSTERBOTTENS LÄN</t>
        </is>
      </c>
      <c r="G47" t="inlineStr">
        <is>
          <t>MALÅ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45154</v>
      </c>
      <c r="E48" s="1" t="n">
        <v>46317</v>
      </c>
      <c r="F48" t="inlineStr">
        <is>
          <t>VÄSTERBOTTENS LÄN</t>
        </is>
      </c>
      <c r="G48" t="inlineStr">
        <is>
          <t>MALÅ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46317</v>
      </c>
      <c r="F49" t="inlineStr">
        <is>
          <t>VÄSTERBOTTENS LÄN</t>
        </is>
      </c>
      <c r="G49" t="inlineStr">
        <is>
          <t>MALÅ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31088-2024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45502</v>
      </c>
      <c r="E50" s="1" t="n">
        <v>46317</v>
      </c>
      <c r="F50" t="inlineStr">
        <is>
          <t>VÄSTERBOTTENS LÄN</t>
        </is>
      </c>
      <c r="G50" t="inlineStr">
        <is>
          <t>MALÅ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46317</v>
      </c>
      <c r="F51" t="inlineStr">
        <is>
          <t>VÄSTERBOTTENS LÄN</t>
        </is>
      </c>
      <c r="G51" t="inlineStr">
        <is>
          <t>MALÅ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45238</v>
      </c>
      <c r="E52" s="1" t="n">
        <v>46317</v>
      </c>
      <c r="F52" t="inlineStr">
        <is>
          <t>VÄSTERBOTTENS LÄN</t>
        </is>
      </c>
      <c r="G52" t="inlineStr">
        <is>
          <t>MALÅ</t>
        </is>
      </c>
      <c r="H52" t="inlineStr">
        <is>
          <t>SCA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41360-2023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46317</v>
      </c>
      <c r="F53" t="inlineStr">
        <is>
          <t>VÄSTERBOTTENS LÄN</t>
        </is>
      </c>
      <c r="G53" t="inlineStr">
        <is>
          <t>MALÅ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46317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22.4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46317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46317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44740</v>
      </c>
      <c r="E57" s="1" t="n">
        <v>46317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40943-2025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45897</v>
      </c>
      <c r="E58" s="1" t="n">
        <v>46317</v>
      </c>
      <c r="F58" t="inlineStr">
        <is>
          <t>VÄSTERBOTTENS LÄN</t>
        </is>
      </c>
      <c r="G58" t="inlineStr">
        <is>
          <t>MALÅ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41559-2025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46317</v>
      </c>
      <c r="F59" t="inlineStr">
        <is>
          <t>VÄSTERBOTTENS LÄN</t>
        </is>
      </c>
      <c r="G59" t="inlineStr">
        <is>
          <t>MALÅ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46027</v>
      </c>
      <c r="E60" s="1" t="n">
        <v>46317</v>
      </c>
      <c r="F60" t="inlineStr">
        <is>
          <t>VÄSTERBOTTENS LÄN</t>
        </is>
      </c>
      <c r="G60" t="inlineStr">
        <is>
          <t>MALÅ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45504</v>
      </c>
      <c r="E61" s="1" t="n">
        <v>46317</v>
      </c>
      <c r="F61" t="inlineStr">
        <is>
          <t>VÄSTERBOTTENS LÄN</t>
        </is>
      </c>
      <c r="G61" t="inlineStr">
        <is>
          <t>MALÅ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46027</v>
      </c>
      <c r="E62" s="1" t="n">
        <v>46317</v>
      </c>
      <c r="F62" t="inlineStr">
        <is>
          <t>VÄSTERBOTTENS LÄN</t>
        </is>
      </c>
      <c r="G62" t="inlineStr">
        <is>
          <t>MALÅ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48089-2024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46317</v>
      </c>
      <c r="F63" t="inlineStr">
        <is>
          <t>VÄSTERBOTTENS LÄN</t>
        </is>
      </c>
      <c r="G63" t="inlineStr">
        <is>
          <t>MALÅ</t>
        </is>
      </c>
      <c r="H63" t="inlineStr">
        <is>
          <t>SCA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58240-2022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46317</v>
      </c>
      <c r="F64" t="inlineStr">
        <is>
          <t>VÄSTERBOTTENS LÄN</t>
        </is>
      </c>
      <c r="G64" t="inlineStr">
        <is>
          <t>MALÅ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46317</v>
      </c>
      <c r="F65" t="inlineStr">
        <is>
          <t>VÄSTERBOTTENS LÄN</t>
        </is>
      </c>
      <c r="G65" t="inlineStr">
        <is>
          <t>MALÅ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46317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63.6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46317</v>
      </c>
      <c r="F67" t="inlineStr">
        <is>
          <t>VÄSTERBOTTENS LÄN</t>
        </is>
      </c>
      <c r="G67" t="inlineStr">
        <is>
          <t>MALÅ</t>
        </is>
      </c>
      <c r="I67" t="n">
        <v>10.8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48034-2025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45932</v>
      </c>
      <c r="E68" s="1" t="n">
        <v>46317</v>
      </c>
      <c r="F68" t="inlineStr">
        <is>
          <t>VÄSTERBOTTENS LÄN</t>
        </is>
      </c>
      <c r="G68" t="inlineStr">
        <is>
          <t>MALÅ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46317</v>
      </c>
      <c r="F69" t="inlineStr">
        <is>
          <t>VÄSTERBOTTENS LÄN</t>
        </is>
      </c>
      <c r="G69" t="inlineStr">
        <is>
          <t>MALÅ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45932</v>
      </c>
      <c r="E70" s="1" t="n">
        <v>46317</v>
      </c>
      <c r="F70" t="inlineStr">
        <is>
          <t>VÄSTERBOTTENS LÄN</t>
        </is>
      </c>
      <c r="G70" t="inlineStr">
        <is>
          <t>MALÅ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46317</v>
      </c>
      <c r="F71" t="inlineStr">
        <is>
          <t>VÄSTERBOTTENS LÄN</t>
        </is>
      </c>
      <c r="G71" t="inlineStr">
        <is>
          <t>MALÅ</t>
        </is>
      </c>
      <c r="I71" t="n">
        <v>9.5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46317</v>
      </c>
      <c r="F72" t="inlineStr">
        <is>
          <t>VÄSTERBOTTENS LÄN</t>
        </is>
      </c>
      <c r="G72" t="inlineStr">
        <is>
          <t>MALÅ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32772-2024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45516</v>
      </c>
      <c r="E73" s="1" t="n">
        <v>46317</v>
      </c>
      <c r="F73" t="inlineStr">
        <is>
          <t>VÄSTERBOTTENS LÄN</t>
        </is>
      </c>
      <c r="G73" t="inlineStr">
        <is>
          <t>MALÅ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46317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34413-2023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45139</v>
      </c>
      <c r="E75" s="1" t="n">
        <v>46317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45938</v>
      </c>
      <c r="E76" s="1" t="n">
        <v>46317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20234-2023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45054</v>
      </c>
      <c r="E77" s="1" t="n">
        <v>46317</v>
      </c>
      <c r="F77" t="inlineStr">
        <is>
          <t>VÄSTERBOTTENS LÄN</t>
        </is>
      </c>
      <c r="G77" t="inlineStr">
        <is>
          <t>MALÅ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46317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46317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46317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46317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46317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45860</v>
      </c>
      <c r="E83" s="1" t="n">
        <v>46317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35723-2025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45860</v>
      </c>
      <c r="E84" s="1" t="n">
        <v>46317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45154</v>
      </c>
      <c r="E85" s="1" t="n">
        <v>46317</v>
      </c>
      <c r="F85" t="inlineStr">
        <is>
          <t>VÄSTERBOTTENS LÄN</t>
        </is>
      </c>
      <c r="G85" t="inlineStr">
        <is>
          <t>MALÅ</t>
        </is>
      </c>
      <c r="I85" t="n">
        <v>73.7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45861</v>
      </c>
      <c r="E86" s="1" t="n">
        <v>46317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45861</v>
      </c>
      <c r="E87" s="1" t="n">
        <v>46317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45230</v>
      </c>
      <c r="E88" s="1" t="n">
        <v>46317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46317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45861</v>
      </c>
      <c r="E90" s="1" t="n">
        <v>46317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46317</v>
      </c>
      <c r="F91" t="inlineStr">
        <is>
          <t>VÄSTERBOTTENS LÄN</t>
        </is>
      </c>
      <c r="G91" t="inlineStr">
        <is>
          <t>MALÅ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46317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46317</v>
      </c>
      <c r="F93" t="inlineStr">
        <is>
          <t>VÄSTERBOTTENS LÄN</t>
        </is>
      </c>
      <c r="G93" t="inlineStr">
        <is>
          <t>MALÅ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46317</v>
      </c>
      <c r="F94" t="inlineStr">
        <is>
          <t>VÄSTERBOTTENS LÄN</t>
        </is>
      </c>
      <c r="G94" t="inlineStr">
        <is>
          <t>MALÅ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46317</v>
      </c>
      <c r="F95" t="inlineStr">
        <is>
          <t>VÄSTERBOTTENS LÄN</t>
        </is>
      </c>
      <c r="G95" t="inlineStr">
        <is>
          <t>MALÅ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44893</v>
      </c>
      <c r="E96" s="1" t="n">
        <v>46317</v>
      </c>
      <c r="F96" t="inlineStr">
        <is>
          <t>VÄSTERBOTTENS LÄN</t>
        </is>
      </c>
      <c r="G96" t="inlineStr">
        <is>
          <t>MALÅ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46317</v>
      </c>
      <c r="F97" t="inlineStr">
        <is>
          <t>VÄSTERBOTTENS LÄN</t>
        </is>
      </c>
      <c r="G97" t="inlineStr">
        <is>
          <t>MALÅ</t>
        </is>
      </c>
      <c r="H97" t="inlineStr">
        <is>
          <t>SCA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46317</v>
      </c>
      <c r="F98" t="inlineStr">
        <is>
          <t>VÄSTERBOTTENS LÄN</t>
        </is>
      </c>
      <c r="G98" t="inlineStr">
        <is>
          <t>MALÅ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46317</v>
      </c>
      <c r="F99" t="inlineStr">
        <is>
          <t>VÄSTERBOTTENS LÄN</t>
        </is>
      </c>
      <c r="G99" t="inlineStr">
        <is>
          <t>MALÅ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46317</v>
      </c>
      <c r="F100" t="inlineStr">
        <is>
          <t>VÄSTERBOTTENS LÄN</t>
        </is>
      </c>
      <c r="G100" t="inlineStr">
        <is>
          <t>MALÅ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  <c r="Z100">
        <f>HYPERLINK("https://klasma.github.io/Logging_2418/knärot/A 41353-2023 karta knärot.png", "A 41353-2023")</f>
        <v/>
      </c>
      <c r="AA100">
        <f>HYPERLINK("https://klasma.github.io/Logging_2418/klagomål/A 41353-2023 FSC-klagomål.docx", "A 41353-2023")</f>
        <v/>
      </c>
      <c r="AB100">
        <f>HYPERLINK("https://klasma.github.io/Logging_2418/klagomålsmail/A 41353-2023 FSC-klagomål mail.docx", "A 41353-2023")</f>
        <v/>
      </c>
      <c r="AC100">
        <f>HYPERLINK("https://klasma.github.io/Logging_2418/tillsyn/A 41353-2023 tillsynsbegäran.docx", "A 41353-2023")</f>
        <v/>
      </c>
      <c r="AD100">
        <f>HYPERLINK("https://klasma.github.io/Logging_2418/tillsynsmail/A 41353-2023 tillsynsbegäran mail.docx", "A 41353-2023")</f>
        <v/>
      </c>
    </row>
    <row r="101" ht="15" customHeight="1">
      <c r="A101" t="inlineStr">
        <is>
          <t>A 10121-2025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46317</v>
      </c>
      <c r="F101" t="inlineStr">
        <is>
          <t>VÄSTERBOTTENS LÄN</t>
        </is>
      </c>
      <c r="G101" t="inlineStr">
        <is>
          <t>MALÅ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46317</v>
      </c>
      <c r="F102" t="inlineStr">
        <is>
          <t>VÄSTERBOTTENS LÄN</t>
        </is>
      </c>
      <c r="G102" t="inlineStr">
        <is>
          <t>MALÅ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46317</v>
      </c>
      <c r="F103" t="inlineStr">
        <is>
          <t>VÄSTERBOTTENS LÄN</t>
        </is>
      </c>
      <c r="G103" t="inlineStr">
        <is>
          <t>MALÅ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45154</v>
      </c>
      <c r="E104" s="1" t="n">
        <v>46317</v>
      </c>
      <c r="F104" t="inlineStr">
        <is>
          <t>VÄSTERBOTTENS LÄN</t>
        </is>
      </c>
      <c r="G104" t="inlineStr">
        <is>
          <t>MALÅ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46317</v>
      </c>
      <c r="F105" t="inlineStr">
        <is>
          <t>VÄSTERBOTTENS LÄN</t>
        </is>
      </c>
      <c r="G105" t="inlineStr">
        <is>
          <t>MALÅ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46317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46317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46317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46317</v>
      </c>
      <c r="F109" t="inlineStr">
        <is>
          <t>VÄSTERBOTTENS LÄN</t>
        </is>
      </c>
      <c r="G109" t="inlineStr">
        <is>
          <t>MALÅ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45966</v>
      </c>
      <c r="E110" s="1" t="n">
        <v>46317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46317</v>
      </c>
      <c r="F111" t="inlineStr">
        <is>
          <t>VÄSTERBOTTENS LÄN</t>
        </is>
      </c>
      <c r="G111" t="inlineStr">
        <is>
          <t>MALÅ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3471-2026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46042</v>
      </c>
      <c r="E112" s="1" t="n">
        <v>46317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54463-2025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45964</v>
      </c>
      <c r="E113" s="1" t="n">
        <v>46317</v>
      </c>
      <c r="F113" t="inlineStr">
        <is>
          <t>VÄSTERBOTTENS LÄN</t>
        </is>
      </c>
      <c r="G113" t="inlineStr">
        <is>
          <t>MALÅ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54455-2025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45964</v>
      </c>
      <c r="E114" s="1" t="n">
        <v>46317</v>
      </c>
      <c r="F114" t="inlineStr">
        <is>
          <t>VÄSTERBOTTENS LÄN</t>
        </is>
      </c>
      <c r="G114" t="inlineStr">
        <is>
          <t>MALÅ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46317</v>
      </c>
      <c r="F115" t="inlineStr">
        <is>
          <t>VÄSTERBOTTENS LÄN</t>
        </is>
      </c>
      <c r="G115" t="inlineStr">
        <is>
          <t>MALÅ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46317</v>
      </c>
      <c r="F116" t="inlineStr">
        <is>
          <t>VÄSTERBOTTENS LÄN</t>
        </is>
      </c>
      <c r="G116" t="inlineStr">
        <is>
          <t>MALÅ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46317</v>
      </c>
      <c r="F117" t="inlineStr">
        <is>
          <t>VÄSTERBOTTENS LÄN</t>
        </is>
      </c>
      <c r="G117" t="inlineStr">
        <is>
          <t>MALÅ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49434-2023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45211</v>
      </c>
      <c r="E118" s="1" t="n">
        <v>46317</v>
      </c>
      <c r="F118" t="inlineStr">
        <is>
          <t>VÄSTERBOTTENS LÄN</t>
        </is>
      </c>
      <c r="G118" t="inlineStr">
        <is>
          <t>MALÅ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45694</v>
      </c>
      <c r="E119" s="1" t="n">
        <v>46317</v>
      </c>
      <c r="F119" t="inlineStr">
        <is>
          <t>VÄSTERBOTTENS LÄN</t>
        </is>
      </c>
      <c r="G119" t="inlineStr">
        <is>
          <t>MALÅ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44792</v>
      </c>
      <c r="E120" s="1" t="n">
        <v>46317</v>
      </c>
      <c r="F120" t="inlineStr">
        <is>
          <t>VÄSTERBOTTENS LÄN</t>
        </is>
      </c>
      <c r="G120" t="inlineStr">
        <is>
          <t>MALÅ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45176</v>
      </c>
      <c r="E121" s="1" t="n">
        <v>46317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46317</v>
      </c>
      <c r="F122" t="inlineStr">
        <is>
          <t>VÄSTERBOTTENS LÄN</t>
        </is>
      </c>
      <c r="G122" t="inlineStr">
        <is>
          <t>MALÅ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46317</v>
      </c>
      <c r="F123" t="inlineStr">
        <is>
          <t>VÄSTERBOTTENS LÄN</t>
        </is>
      </c>
      <c r="G123" t="inlineStr">
        <is>
          <t>MALÅ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45985</v>
      </c>
      <c r="E124" s="1" t="n">
        <v>46317</v>
      </c>
      <c r="F124" t="inlineStr">
        <is>
          <t>VÄSTERBOTTENS LÄN</t>
        </is>
      </c>
      <c r="G124" t="inlineStr">
        <is>
          <t>MALÅ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46317</v>
      </c>
      <c r="F125" t="inlineStr">
        <is>
          <t>VÄSTERBOTTENS LÄN</t>
        </is>
      </c>
      <c r="G125" t="inlineStr">
        <is>
          <t>MALÅ</t>
        </is>
      </c>
      <c r="I125" t="n">
        <v>20.7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45000</v>
      </c>
      <c r="E126" s="1" t="n">
        <v>46317</v>
      </c>
      <c r="F126" t="inlineStr">
        <is>
          <t>VÄSTERBOTTENS LÄN</t>
        </is>
      </c>
      <c r="G126" t="inlineStr">
        <is>
          <t>MALÅ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46317</v>
      </c>
      <c r="F127" t="inlineStr">
        <is>
          <t>VÄSTERBOTTENS LÄN</t>
        </is>
      </c>
      <c r="G127" t="inlineStr">
        <is>
          <t>MALÅ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46317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46317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46317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46317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46317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36743-2023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45153</v>
      </c>
      <c r="E133" s="1" t="n">
        <v>46317</v>
      </c>
      <c r="F133" t="inlineStr">
        <is>
          <t>VÄSTERBOTTENS LÄN</t>
        </is>
      </c>
      <c r="G133" t="inlineStr">
        <is>
          <t>MALÅ</t>
        </is>
      </c>
      <c r="I133" t="n">
        <v>15.7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36744-2023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45153</v>
      </c>
      <c r="E134" s="1" t="n">
        <v>46317</v>
      </c>
      <c r="F134" t="inlineStr">
        <is>
          <t>VÄSTERBOTTENS LÄN</t>
        </is>
      </c>
      <c r="G134" t="inlineStr">
        <is>
          <t>MALÅ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45178</v>
      </c>
      <c r="E135" s="1" t="n">
        <v>46317</v>
      </c>
      <c r="F135" t="inlineStr">
        <is>
          <t>VÄSTERBOTTENS LÄN</t>
        </is>
      </c>
      <c r="G135" t="inlineStr">
        <is>
          <t>MALÅ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46317</v>
      </c>
      <c r="F136" t="inlineStr">
        <is>
          <t>VÄSTERBOTTENS LÄN</t>
        </is>
      </c>
      <c r="G136" t="inlineStr">
        <is>
          <t>MALÅ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46317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46317</v>
      </c>
      <c r="F138" t="inlineStr">
        <is>
          <t>VÄSTERBOTTENS LÄN</t>
        </is>
      </c>
      <c r="G138" t="inlineStr">
        <is>
          <t>MALÅ</t>
        </is>
      </c>
      <c r="H138" t="inlineStr">
        <is>
          <t>SCA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46317</v>
      </c>
      <c r="F139" t="inlineStr">
        <is>
          <t>VÄSTERBOTTENS LÄN</t>
        </is>
      </c>
      <c r="G139" t="inlineStr">
        <is>
          <t>MALÅ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45184</v>
      </c>
      <c r="E140" s="1" t="n">
        <v>46317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46317</v>
      </c>
      <c r="F141" t="inlineStr">
        <is>
          <t>VÄSTERBOTTENS LÄN</t>
        </is>
      </c>
      <c r="G141" t="inlineStr">
        <is>
          <t>MALÅ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61844-2025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46317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46317</v>
      </c>
      <c r="F143" t="inlineStr">
        <is>
          <t>VÄSTERBOTTENS LÄN</t>
        </is>
      </c>
      <c r="G143" t="inlineStr">
        <is>
          <t>MALÅ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46317</v>
      </c>
      <c r="F144" t="inlineStr">
        <is>
          <t>VÄSTERBOTTENS LÄN</t>
        </is>
      </c>
      <c r="G144" t="inlineStr">
        <is>
          <t>MALÅ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46317</v>
      </c>
      <c r="F145" t="inlineStr">
        <is>
          <t>VÄSTERBOTTENS LÄN</t>
        </is>
      </c>
      <c r="G145" t="inlineStr">
        <is>
          <t>MALÅ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46317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36124-2023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45149</v>
      </c>
      <c r="E147" s="1" t="n">
        <v>46317</v>
      </c>
      <c r="F147" t="inlineStr">
        <is>
          <t>VÄSTERBOTTENS LÄN</t>
        </is>
      </c>
      <c r="G147" t="inlineStr">
        <is>
          <t>MALÅ</t>
        </is>
      </c>
      <c r="I147" t="n">
        <v>26.9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47799-2023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45203</v>
      </c>
      <c r="E148" s="1" t="n">
        <v>46317</v>
      </c>
      <c r="F148" t="inlineStr">
        <is>
          <t>VÄSTERBOTTENS LÄN</t>
        </is>
      </c>
      <c r="G148" t="inlineStr">
        <is>
          <t>MALÅ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46317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8648-2026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46066</v>
      </c>
      <c r="E150" s="1" t="n">
        <v>46317</v>
      </c>
      <c r="F150" t="inlineStr">
        <is>
          <t>VÄSTERBOTTENS LÄN</t>
        </is>
      </c>
      <c r="G150" t="inlineStr">
        <is>
          <t>MALÅ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46317</v>
      </c>
      <c r="F151" t="inlineStr">
        <is>
          <t>VÄSTERBOTTENS LÄN</t>
        </is>
      </c>
      <c r="G151" t="inlineStr">
        <is>
          <t>MALÅ</t>
        </is>
      </c>
      <c r="H151" t="inlineStr">
        <is>
          <t>SCA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46317</v>
      </c>
      <c r="F152" t="inlineStr">
        <is>
          <t>VÄSTERBOTTENS LÄN</t>
        </is>
      </c>
      <c r="G152" t="inlineStr">
        <is>
          <t>MALÅ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9311-2026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46070</v>
      </c>
      <c r="E153" s="1" t="n">
        <v>46317</v>
      </c>
      <c r="F153" t="inlineStr">
        <is>
          <t>VÄSTERBOTTENS LÄN</t>
        </is>
      </c>
      <c r="G153" t="inlineStr">
        <is>
          <t>MALÅ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45022</v>
      </c>
      <c r="E154" s="1" t="n">
        <v>46317</v>
      </c>
      <c r="F154" t="inlineStr">
        <is>
          <t>VÄSTERBOTTENS LÄN</t>
        </is>
      </c>
      <c r="G154" t="inlineStr">
        <is>
          <t>MALÅ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45022</v>
      </c>
      <c r="E155" s="1" t="n">
        <v>46317</v>
      </c>
      <c r="F155" t="inlineStr">
        <is>
          <t>VÄSTERBOTTENS LÄN</t>
        </is>
      </c>
      <c r="G155" t="inlineStr">
        <is>
          <t>MALÅ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46072</v>
      </c>
      <c r="E156" s="1" t="n">
        <v>46317</v>
      </c>
      <c r="F156" t="inlineStr">
        <is>
          <t>VÄSTERBOTTENS LÄN</t>
        </is>
      </c>
      <c r="G156" t="inlineStr">
        <is>
          <t>MALÅ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45160</v>
      </c>
      <c r="E157" s="1" t="n">
        <v>46317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21.8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45193</v>
      </c>
      <c r="E158" s="1" t="n">
        <v>46317</v>
      </c>
      <c r="F158" t="inlineStr">
        <is>
          <t>VÄSTERBOTTENS LÄN</t>
        </is>
      </c>
      <c r="G158" t="inlineStr">
        <is>
          <t>MALÅ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45190</v>
      </c>
      <c r="E159" s="1" t="n">
        <v>46317</v>
      </c>
      <c r="F159" t="inlineStr">
        <is>
          <t>VÄSTERBOTTENS LÄN</t>
        </is>
      </c>
      <c r="G159" t="inlineStr">
        <is>
          <t>MALÅ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45155</v>
      </c>
      <c r="E160" s="1" t="n">
        <v>46317</v>
      </c>
      <c r="F160" t="inlineStr">
        <is>
          <t>VÄSTERBOTTENS LÄN</t>
        </is>
      </c>
      <c r="G160" t="inlineStr">
        <is>
          <t>MALÅ</t>
        </is>
      </c>
      <c r="I160" t="n">
        <v>48.2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46084</v>
      </c>
      <c r="E161" s="1" t="n">
        <v>46317</v>
      </c>
      <c r="F161" t="inlineStr">
        <is>
          <t>VÄSTERBOTTENS LÄN</t>
        </is>
      </c>
      <c r="G161" t="inlineStr">
        <is>
          <t>MALÅ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46317</v>
      </c>
      <c r="F162" t="inlineStr">
        <is>
          <t>VÄSTERBOTTENS LÄN</t>
        </is>
      </c>
      <c r="G162" t="inlineStr">
        <is>
          <t>MALÅ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46317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46097</v>
      </c>
      <c r="E164" s="1" t="n">
        <v>46317</v>
      </c>
      <c r="F164" t="inlineStr">
        <is>
          <t>VÄSTERBOTTENS LÄN</t>
        </is>
      </c>
      <c r="G164" t="inlineStr">
        <is>
          <t>MALÅ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46097</v>
      </c>
      <c r="E165" s="1" t="n">
        <v>46317</v>
      </c>
      <c r="F165" t="inlineStr">
        <is>
          <t>VÄSTERBOTTENS LÄN</t>
        </is>
      </c>
      <c r="G165" t="inlineStr">
        <is>
          <t>MALÅ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35917-2022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44802</v>
      </c>
      <c r="E166" s="1" t="n">
        <v>46317</v>
      </c>
      <c r="F166" t="inlineStr">
        <is>
          <t>VÄSTERBOTTENS LÄN</t>
        </is>
      </c>
      <c r="G166" t="inlineStr">
        <is>
          <t>MALÅ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46317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45022</v>
      </c>
      <c r="E168" s="1" t="n">
        <v>46317</v>
      </c>
      <c r="F168" t="inlineStr">
        <is>
          <t>VÄSTERBOTTENS LÄN</t>
        </is>
      </c>
      <c r="G168" t="inlineStr">
        <is>
          <t>MALÅ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46317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46317</v>
      </c>
      <c r="F170" t="inlineStr">
        <is>
          <t>VÄSTERBOTTENS LÄN</t>
        </is>
      </c>
      <c r="G170" t="inlineStr">
        <is>
          <t>MALÅ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45179</v>
      </c>
      <c r="E171" s="1" t="n">
        <v>46317</v>
      </c>
      <c r="F171" t="inlineStr">
        <is>
          <t>VÄSTERBOTTENS LÄN</t>
        </is>
      </c>
      <c r="G171" t="inlineStr">
        <is>
          <t>MALÅ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46317</v>
      </c>
      <c r="F172" t="inlineStr">
        <is>
          <t>VÄSTERBOTTENS LÄN</t>
        </is>
      </c>
      <c r="G172" t="inlineStr">
        <is>
          <t>MALÅ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46114</v>
      </c>
      <c r="E173" s="1" t="n">
        <v>46317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19.7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45646</v>
      </c>
      <c r="E174" s="1" t="n">
        <v>46317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45148</v>
      </c>
      <c r="E175" s="1" t="n">
        <v>46317</v>
      </c>
      <c r="F175" t="inlineStr">
        <is>
          <t>VÄSTERBOTTENS LÄN</t>
        </is>
      </c>
      <c r="G175" t="inlineStr">
        <is>
          <t>MALÅ</t>
        </is>
      </c>
      <c r="I175" t="n">
        <v>26.3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46317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46133</v>
      </c>
      <c r="E177" s="1" t="n">
        <v>46317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46317</v>
      </c>
      <c r="F178" t="inlineStr">
        <is>
          <t>VÄSTERBOTTENS LÄN</t>
        </is>
      </c>
      <c r="G178" t="inlineStr">
        <is>
          <t>MALÅ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46133</v>
      </c>
      <c r="E179" s="1" t="n">
        <v>46317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55.9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46317</v>
      </c>
      <c r="F180" t="inlineStr">
        <is>
          <t>VÄSTERBOTTENS LÄN</t>
        </is>
      </c>
      <c r="G180" t="inlineStr">
        <is>
          <t>MALÅ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46317</v>
      </c>
      <c r="F181" t="inlineStr">
        <is>
          <t>VÄSTERBOTTENS LÄN</t>
        </is>
      </c>
      <c r="G181" t="inlineStr">
        <is>
          <t>MALÅ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45158</v>
      </c>
      <c r="E182" s="1" t="n">
        <v>46317</v>
      </c>
      <c r="F182" t="inlineStr">
        <is>
          <t>VÄSTERBOTTENS LÄN</t>
        </is>
      </c>
      <c r="G182" t="inlineStr">
        <is>
          <t>MALÅ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45156</v>
      </c>
      <c r="E183" s="1" t="n">
        <v>46317</v>
      </c>
      <c r="F183" t="inlineStr">
        <is>
          <t>VÄSTERBOTTENS LÄN</t>
        </is>
      </c>
      <c r="G183" t="inlineStr">
        <is>
          <t>MALÅ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46317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46317</v>
      </c>
      <c r="F185" t="inlineStr">
        <is>
          <t>VÄSTERBOTTENS LÄN</t>
        </is>
      </c>
      <c r="G185" t="inlineStr">
        <is>
          <t>MALÅ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36425-2023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45152</v>
      </c>
      <c r="E186" s="1" t="n">
        <v>46317</v>
      </c>
      <c r="F186" t="inlineStr">
        <is>
          <t>VÄSTERBOTTENS LÄN</t>
        </is>
      </c>
      <c r="G186" t="inlineStr">
        <is>
          <t>MALÅ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46317</v>
      </c>
      <c r="F187" t="inlineStr">
        <is>
          <t>VÄSTERBOTTENS LÄN</t>
        </is>
      </c>
      <c r="G187" t="inlineStr">
        <is>
          <t>MALÅ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45714</v>
      </c>
      <c r="E188" s="1" t="n">
        <v>46317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18.7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46317</v>
      </c>
      <c r="F189" t="inlineStr">
        <is>
          <t>VÄSTERBOTTENS LÄN</t>
        </is>
      </c>
      <c r="G189" t="inlineStr">
        <is>
          <t>MALÅ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45750</v>
      </c>
      <c r="E190" s="1" t="n">
        <v>46317</v>
      </c>
      <c r="F190" t="inlineStr">
        <is>
          <t>VÄSTERBOTTENS LÄN</t>
        </is>
      </c>
      <c r="G190" t="inlineStr">
        <is>
          <t>MALÅ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46317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46317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30.8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46317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18.2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46317</v>
      </c>
      <c r="F194" t="inlineStr">
        <is>
          <t>VÄSTERBOTTENS LÄN</t>
        </is>
      </c>
      <c r="G194" t="inlineStr">
        <is>
          <t>MALÅ</t>
        </is>
      </c>
      <c r="I194" t="n">
        <v>63.5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46317</v>
      </c>
      <c r="F195" t="inlineStr">
        <is>
          <t>VÄSTERBOTTENS LÄN</t>
        </is>
      </c>
      <c r="G195" t="inlineStr">
        <is>
          <t>MALÅ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48224-2024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45590</v>
      </c>
      <c r="E196" s="1" t="n">
        <v>46317</v>
      </c>
      <c r="F196" t="inlineStr">
        <is>
          <t>VÄSTERBOTTENS LÄN</t>
        </is>
      </c>
      <c r="G196" t="inlineStr">
        <is>
          <t>MALÅ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45201</v>
      </c>
      <c r="E197" s="1" t="n">
        <v>46317</v>
      </c>
      <c r="F197" t="inlineStr">
        <is>
          <t>VÄSTERBOTTENS LÄN</t>
        </is>
      </c>
      <c r="G197" t="inlineStr">
        <is>
          <t>MALÅ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46317</v>
      </c>
      <c r="F198" t="inlineStr">
        <is>
          <t>VÄSTERBOTTENS LÄN</t>
        </is>
      </c>
      <c r="G198" t="inlineStr">
        <is>
          <t>MALÅ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46317</v>
      </c>
      <c r="F199" t="inlineStr">
        <is>
          <t>VÄSTERBOTTENS LÄN</t>
        </is>
      </c>
      <c r="G199" t="inlineStr">
        <is>
          <t>MALÅ</t>
        </is>
      </c>
      <c r="I199" t="n">
        <v>17.5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43952-2023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46317</v>
      </c>
      <c r="F200" t="inlineStr">
        <is>
          <t>VÄSTERBOTTENS LÄN</t>
        </is>
      </c>
      <c r="G200" t="inlineStr">
        <is>
          <t>MALÅ</t>
        </is>
      </c>
      <c r="H200" t="inlineStr">
        <is>
          <t>SCA</t>
        </is>
      </c>
      <c r="I200" t="n">
        <v>11.5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45189</v>
      </c>
      <c r="E201" s="1" t="n">
        <v>46317</v>
      </c>
      <c r="F201" t="inlineStr">
        <is>
          <t>VÄSTERBOTTENS LÄN</t>
        </is>
      </c>
      <c r="G201" t="inlineStr">
        <is>
          <t>MALÅ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45152</v>
      </c>
      <c r="E202" s="1" t="n">
        <v>46317</v>
      </c>
      <c r="F202" t="inlineStr">
        <is>
          <t>VÄSTERBOTTENS LÄN</t>
        </is>
      </c>
      <c r="G202" t="inlineStr">
        <is>
          <t>MALÅ</t>
        </is>
      </c>
      <c r="I202" t="n">
        <v>13.3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46317</v>
      </c>
      <c r="F203" t="inlineStr">
        <is>
          <t>VÄSTERBOTTENS LÄN</t>
        </is>
      </c>
      <c r="G203" t="inlineStr">
        <is>
          <t>MALÅ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46317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25.9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45170</v>
      </c>
      <c r="E205" s="1" t="n">
        <v>46317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46317</v>
      </c>
      <c r="F206" t="inlineStr">
        <is>
          <t>VÄSTERBOTTENS LÄN</t>
        </is>
      </c>
      <c r="G206" t="inlineStr">
        <is>
          <t>MALÅ</t>
        </is>
      </c>
      <c r="H206" t="inlineStr">
        <is>
          <t>SCA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46317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46317</v>
      </c>
      <c r="F208" t="inlineStr">
        <is>
          <t>VÄSTERBOTTENS LÄN</t>
        </is>
      </c>
      <c r="G208" t="inlineStr">
        <is>
          <t>MALÅ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45190</v>
      </c>
      <c r="E209" s="1" t="n">
        <v>46317</v>
      </c>
      <c r="F209" t="inlineStr">
        <is>
          <t>VÄSTERBOTTENS LÄN</t>
        </is>
      </c>
      <c r="G209" t="inlineStr">
        <is>
          <t>MALÅ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46317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46317</v>
      </c>
      <c r="F211" t="inlineStr">
        <is>
          <t>VÄSTERBOTTENS LÄN</t>
        </is>
      </c>
      <c r="G211" t="inlineStr">
        <is>
          <t>MALÅ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46317</v>
      </c>
      <c r="F212" t="inlineStr">
        <is>
          <t>VÄSTERBOTTENS LÄN</t>
        </is>
      </c>
      <c r="G212" t="inlineStr">
        <is>
          <t>MALÅ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46317</v>
      </c>
      <c r="F213" t="inlineStr">
        <is>
          <t>VÄSTERBOTTENS LÄN</t>
        </is>
      </c>
      <c r="G213" t="inlineStr">
        <is>
          <t>MALÅ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46317</v>
      </c>
      <c r="F214" t="inlineStr">
        <is>
          <t>VÄSTERBOTTENS LÄN</t>
        </is>
      </c>
      <c r="G214" t="inlineStr">
        <is>
          <t>MALÅ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45238</v>
      </c>
      <c r="E215" s="1" t="n">
        <v>46317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46317</v>
      </c>
      <c r="F216" t="inlineStr">
        <is>
          <t>VÄSTERBOTTENS LÄN</t>
        </is>
      </c>
      <c r="G216" t="inlineStr">
        <is>
          <t>MALÅ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46317</v>
      </c>
      <c r="F217" t="inlineStr">
        <is>
          <t>VÄSTERBOTTENS LÄN</t>
        </is>
      </c>
      <c r="G217" t="inlineStr">
        <is>
          <t>MALÅ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46317</v>
      </c>
      <c r="F218" t="inlineStr">
        <is>
          <t>VÄSTERBOTTENS LÄN</t>
        </is>
      </c>
      <c r="G218" t="inlineStr">
        <is>
          <t>MALÅ</t>
        </is>
      </c>
      <c r="I218" t="n">
        <v>10.5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46317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46317</v>
      </c>
      <c r="F220" t="inlineStr">
        <is>
          <t>VÄSTERBOTTENS LÄN</t>
        </is>
      </c>
      <c r="G220" t="inlineStr">
        <is>
          <t>MALÅ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46317</v>
      </c>
      <c r="F221" t="inlineStr">
        <is>
          <t>VÄSTERBOTTENS LÄN</t>
        </is>
      </c>
      <c r="G221" t="inlineStr">
        <is>
          <t>MALÅ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46317</v>
      </c>
      <c r="F222" t="inlineStr">
        <is>
          <t>VÄSTERBOTTENS LÄN</t>
        </is>
      </c>
      <c r="G222" t="inlineStr">
        <is>
          <t>MALÅ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45148</v>
      </c>
      <c r="E223" s="1" t="n">
        <v>46317</v>
      </c>
      <c r="F223" t="inlineStr">
        <is>
          <t>VÄSTERBOTTENS LÄN</t>
        </is>
      </c>
      <c r="G223" t="inlineStr">
        <is>
          <t>MALÅ</t>
        </is>
      </c>
      <c r="I223" t="n">
        <v>16.2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46317</v>
      </c>
      <c r="F224" t="inlineStr">
        <is>
          <t>VÄSTERBOTTENS LÄN</t>
        </is>
      </c>
      <c r="G224" t="inlineStr">
        <is>
          <t>MALÅ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46317</v>
      </c>
      <c r="F225" t="inlineStr">
        <is>
          <t>VÄSTERBOTTENS LÄN</t>
        </is>
      </c>
      <c r="G225" t="inlineStr">
        <is>
          <t>MALÅ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46317</v>
      </c>
      <c r="F226" t="inlineStr">
        <is>
          <t>VÄSTERBOTTENS LÄN</t>
        </is>
      </c>
      <c r="G226" t="inlineStr">
        <is>
          <t>MALÅ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45201</v>
      </c>
      <c r="E227" s="1" t="n">
        <v>46317</v>
      </c>
      <c r="F227" t="inlineStr">
        <is>
          <t>VÄSTERBOTTENS LÄN</t>
        </is>
      </c>
      <c r="G227" t="inlineStr">
        <is>
          <t>MALÅ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46317</v>
      </c>
      <c r="F228" t="inlineStr">
        <is>
          <t>VÄSTERBOTTENS LÄN</t>
        </is>
      </c>
      <c r="G228" t="inlineStr">
        <is>
          <t>MALÅ</t>
        </is>
      </c>
      <c r="H228" t="inlineStr">
        <is>
          <t>SCA</t>
        </is>
      </c>
      <c r="I228" t="n">
        <v>10.2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45516</v>
      </c>
      <c r="E229" s="1" t="n">
        <v>46317</v>
      </c>
      <c r="F229" t="inlineStr">
        <is>
          <t>VÄSTERBOTTENS LÄN</t>
        </is>
      </c>
      <c r="G229" t="inlineStr">
        <is>
          <t>MALÅ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46317</v>
      </c>
      <c r="F230" t="inlineStr">
        <is>
          <t>VÄSTERBOTTENS LÄN</t>
        </is>
      </c>
      <c r="G230" t="inlineStr">
        <is>
          <t>MALÅ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45232</v>
      </c>
      <c r="E231" s="1" t="n">
        <v>46317</v>
      </c>
      <c r="F231" t="inlineStr">
        <is>
          <t>VÄSTERBOTTENS LÄN</t>
        </is>
      </c>
      <c r="G231" t="inlineStr">
        <is>
          <t>MALÅ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52104-2023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46317</v>
      </c>
      <c r="F232" t="inlineStr">
        <is>
          <t>VÄSTERBOTTENS LÄN</t>
        </is>
      </c>
      <c r="G232" t="inlineStr">
        <is>
          <t>MALÅ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45167</v>
      </c>
      <c r="E233" s="1" t="n">
        <v>46317</v>
      </c>
      <c r="F233" t="inlineStr">
        <is>
          <t>VÄSTERBOTTENS LÄN</t>
        </is>
      </c>
      <c r="G233" t="inlineStr">
        <is>
          <t>MALÅ</t>
        </is>
      </c>
      <c r="I233" t="n">
        <v>10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46317</v>
      </c>
      <c r="F234" t="inlineStr">
        <is>
          <t>VÄSTERBOTTENS LÄN</t>
        </is>
      </c>
      <c r="G234" t="inlineStr">
        <is>
          <t>MALÅ</t>
        </is>
      </c>
      <c r="H234" t="inlineStr">
        <is>
          <t>Kyrkan</t>
        </is>
      </c>
      <c r="I234" t="n">
        <v>27.3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46317</v>
      </c>
      <c r="F235" t="inlineStr">
        <is>
          <t>VÄSTERBOTTENS LÄN</t>
        </is>
      </c>
      <c r="G235" t="inlineStr">
        <is>
          <t>MALÅ</t>
        </is>
      </c>
      <c r="H235" t="inlineStr">
        <is>
          <t>Kyrkan</t>
        </is>
      </c>
      <c r="I235" t="n">
        <v>84.5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46317</v>
      </c>
      <c r="F236" t="inlineStr">
        <is>
          <t>VÄSTERBOTTENS LÄN</t>
        </is>
      </c>
      <c r="G236" t="inlineStr">
        <is>
          <t>MALÅ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46317</v>
      </c>
      <c r="F237" t="inlineStr">
        <is>
          <t>VÄSTERBOTTENS LÄN</t>
        </is>
      </c>
      <c r="G237" t="inlineStr">
        <is>
          <t>MALÅ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45174</v>
      </c>
      <c r="E238" s="1" t="n">
        <v>46317</v>
      </c>
      <c r="F238" t="inlineStr">
        <is>
          <t>VÄSTERBOTTENS LÄN</t>
        </is>
      </c>
      <c r="G238" t="inlineStr">
        <is>
          <t>MALÅ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45149</v>
      </c>
      <c r="E239" s="1" t="n">
        <v>46317</v>
      </c>
      <c r="F239" t="inlineStr">
        <is>
          <t>VÄSTERBOTTENS LÄN</t>
        </is>
      </c>
      <c r="G239" t="inlineStr">
        <is>
          <t>MALÅ</t>
        </is>
      </c>
      <c r="I239" t="n">
        <v>147.1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45202</v>
      </c>
      <c r="E240" s="1" t="n">
        <v>46317</v>
      </c>
      <c r="F240" t="inlineStr">
        <is>
          <t>VÄSTERBOTTENS LÄN</t>
        </is>
      </c>
      <c r="G240" t="inlineStr">
        <is>
          <t>MALÅ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45229</v>
      </c>
      <c r="E241" s="1" t="n">
        <v>46317</v>
      </c>
      <c r="F241" t="inlineStr">
        <is>
          <t>VÄSTERBOTTENS LÄN</t>
        </is>
      </c>
      <c r="G241" t="inlineStr">
        <is>
          <t>MALÅ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46317</v>
      </c>
      <c r="F242" t="inlineStr">
        <is>
          <t>VÄSTERBOTTENS LÄN</t>
        </is>
      </c>
      <c r="G242" t="inlineStr">
        <is>
          <t>MALÅ</t>
        </is>
      </c>
      <c r="I242" t="n">
        <v>13.3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46317</v>
      </c>
      <c r="F243" t="inlineStr">
        <is>
          <t>VÄSTERBOTTENS LÄN</t>
        </is>
      </c>
      <c r="G243" t="inlineStr">
        <is>
          <t>MALÅ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45267</v>
      </c>
      <c r="E244" s="1" t="n">
        <v>46317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10843-2024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45369</v>
      </c>
      <c r="E245" s="1" t="n">
        <v>46317</v>
      </c>
      <c r="F245" t="inlineStr">
        <is>
          <t>VÄSTERBOTTENS LÄN</t>
        </is>
      </c>
      <c r="G245" t="inlineStr">
        <is>
          <t>MALÅ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46317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46185</v>
      </c>
      <c r="E247" s="1" t="n">
        <v>46317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11.5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46317</v>
      </c>
      <c r="F248" t="inlineStr">
        <is>
          <t>VÄSTERBOTTENS LÄN</t>
        </is>
      </c>
      <c r="G248" t="inlineStr">
        <is>
          <t>MALÅ</t>
        </is>
      </c>
      <c r="H248" t="inlineStr">
        <is>
          <t>SCA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46317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46317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46189</v>
      </c>
      <c r="E251" s="1" t="n">
        <v>46317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46189</v>
      </c>
      <c r="E252" s="1" t="n">
        <v>46317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46317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44575</v>
      </c>
      <c r="E254" s="1" t="n">
        <v>46317</v>
      </c>
      <c r="F254" t="inlineStr">
        <is>
          <t>VÄSTERBOTTENS LÄN</t>
        </is>
      </c>
      <c r="G254" t="inlineStr">
        <is>
          <t>MALÅ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46317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23.5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45180</v>
      </c>
      <c r="E256" s="1" t="n">
        <v>46317</v>
      </c>
      <c r="F256" t="inlineStr">
        <is>
          <t>VÄSTERBOTTENS LÄN</t>
        </is>
      </c>
      <c r="G256" t="inlineStr">
        <is>
          <t>MALÅ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46317</v>
      </c>
      <c r="F257" t="inlineStr">
        <is>
          <t>VÄSTERBOTTENS LÄN</t>
        </is>
      </c>
      <c r="G257" t="inlineStr">
        <is>
          <t>MALÅ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46317</v>
      </c>
      <c r="F258" t="inlineStr">
        <is>
          <t>VÄSTERBOTTENS LÄN</t>
        </is>
      </c>
      <c r="G258" t="inlineStr">
        <is>
          <t>MALÅ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46317</v>
      </c>
      <c r="F259" t="inlineStr">
        <is>
          <t>VÄSTERBOTTENS LÄN</t>
        </is>
      </c>
      <c r="G259" t="inlineStr">
        <is>
          <t>MALÅ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46317</v>
      </c>
      <c r="F260" t="inlineStr">
        <is>
          <t>VÄSTERBOTTENS LÄN</t>
        </is>
      </c>
      <c r="G260" t="inlineStr">
        <is>
          <t>MALÅ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46196</v>
      </c>
      <c r="E261" s="1" t="n">
        <v>46317</v>
      </c>
      <c r="F261" t="inlineStr">
        <is>
          <t>VÄSTERBOTTENS LÄN</t>
        </is>
      </c>
      <c r="G261" t="inlineStr">
        <is>
          <t>MALÅ</t>
        </is>
      </c>
      <c r="I261" t="n">
        <v>9.1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46317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46317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46317</v>
      </c>
      <c r="F264" t="inlineStr">
        <is>
          <t>VÄSTERBOTTENS LÄN</t>
        </is>
      </c>
      <c r="G264" t="inlineStr">
        <is>
          <t>MALÅ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28803-2026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46198</v>
      </c>
      <c r="E265" s="1" t="n">
        <v>46317</v>
      </c>
      <c r="F265" t="inlineStr">
        <is>
          <t>VÄSTERBOTTENS LÄN</t>
        </is>
      </c>
      <c r="G265" t="inlineStr">
        <is>
          <t>MALÅ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46317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37.2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46317</v>
      </c>
      <c r="F267" t="inlineStr">
        <is>
          <t>VÄSTERBOTTENS LÄN</t>
        </is>
      </c>
      <c r="G267" t="inlineStr">
        <is>
          <t>MALÅ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46317</v>
      </c>
      <c r="F268" t="inlineStr">
        <is>
          <t>VÄSTERBOTTENS LÄN</t>
        </is>
      </c>
      <c r="G268" t="inlineStr">
        <is>
          <t>MALÅ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68036-2021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44525</v>
      </c>
      <c r="E269" s="1" t="n">
        <v>46317</v>
      </c>
      <c r="F269" t="inlineStr">
        <is>
          <t>VÄSTERBOTTENS LÄN</t>
        </is>
      </c>
      <c r="G269" t="inlineStr">
        <is>
          <t>MALÅ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46317</v>
      </c>
      <c r="F270" t="inlineStr">
        <is>
          <t>VÄSTERBOTTENS LÄN</t>
        </is>
      </c>
      <c r="G270" t="inlineStr">
        <is>
          <t>MALÅ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45158</v>
      </c>
      <c r="E271" s="1" t="n">
        <v>46317</v>
      </c>
      <c r="F271" t="inlineStr">
        <is>
          <t>VÄSTERBOTTENS LÄN</t>
        </is>
      </c>
      <c r="G271" t="inlineStr">
        <is>
          <t>MALÅ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46317</v>
      </c>
      <c r="F272" t="inlineStr">
        <is>
          <t>VÄSTERBOTTENS LÄN</t>
        </is>
      </c>
      <c r="G272" t="inlineStr">
        <is>
          <t>MALÅ</t>
        </is>
      </c>
      <c r="I272" t="n">
        <v>41.2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30502-2026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46210</v>
      </c>
      <c r="E273" s="1" t="n">
        <v>46317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44641</v>
      </c>
      <c r="E274" s="1" t="n">
        <v>46317</v>
      </c>
      <c r="F274" t="inlineStr">
        <is>
          <t>VÄSTERBOTTENS LÄN</t>
        </is>
      </c>
      <c r="G274" t="inlineStr">
        <is>
          <t>MALÅ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31529-2026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46223</v>
      </c>
      <c r="E275" s="1" t="n">
        <v>46317</v>
      </c>
      <c r="F275" t="inlineStr">
        <is>
          <t>VÄSTERBOTTENS LÄN</t>
        </is>
      </c>
      <c r="G275" t="inlineStr">
        <is>
          <t>MALÅ</t>
        </is>
      </c>
      <c r="H275" t="inlineStr">
        <is>
          <t>SCA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46223</v>
      </c>
      <c r="E276" s="1" t="n">
        <v>46317</v>
      </c>
      <c r="F276" t="inlineStr">
        <is>
          <t>VÄSTERBOTTENS LÄN</t>
        </is>
      </c>
      <c r="G276" t="inlineStr">
        <is>
          <t>MALÅ</t>
        </is>
      </c>
      <c r="H276" t="inlineStr">
        <is>
          <t>SCA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46317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23.4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45736</v>
      </c>
      <c r="E278" s="1" t="n">
        <v>46317</v>
      </c>
      <c r="F278" t="inlineStr">
        <is>
          <t>VÄSTERBOTTENS LÄN</t>
        </is>
      </c>
      <c r="G278" t="inlineStr">
        <is>
          <t>MALÅ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45171</v>
      </c>
      <c r="E279" s="1" t="n">
        <v>46317</v>
      </c>
      <c r="F279" t="inlineStr">
        <is>
          <t>VÄSTERBOTTENS LÄN</t>
        </is>
      </c>
      <c r="G279" t="inlineStr">
        <is>
          <t>MALÅ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26853-2026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46185</v>
      </c>
      <c r="E280" s="1" t="n">
        <v>46317</v>
      </c>
      <c r="F280" t="inlineStr">
        <is>
          <t>VÄSTERBOTTENS LÄN</t>
        </is>
      </c>
      <c r="G280" t="inlineStr">
        <is>
          <t>MALÅ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45184</v>
      </c>
      <c r="E281" s="1" t="n">
        <v>46317</v>
      </c>
      <c r="F281" t="inlineStr">
        <is>
          <t>VÄSTERBOTTENS LÄN</t>
        </is>
      </c>
      <c r="G281" t="inlineStr">
        <is>
          <t>MALÅ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46317</v>
      </c>
      <c r="F282" t="inlineStr">
        <is>
          <t>VÄSTERBOTTENS LÄN</t>
        </is>
      </c>
      <c r="G282" t="inlineStr">
        <is>
          <t>MALÅ</t>
        </is>
      </c>
      <c r="I282" t="n">
        <v>27.9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46317</v>
      </c>
      <c r="F283" t="inlineStr">
        <is>
          <t>VÄSTERBOTTENS LÄN</t>
        </is>
      </c>
      <c r="G283" t="inlineStr">
        <is>
          <t>MALÅ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46276</v>
      </c>
      <c r="E284" s="1" t="n">
        <v>46317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46317</v>
      </c>
      <c r="F285" t="inlineStr">
        <is>
          <t>VÄSTERBOTTENS LÄN</t>
        </is>
      </c>
      <c r="G285" t="inlineStr">
        <is>
          <t>MALÅ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45236</v>
      </c>
      <c r="E286" s="1" t="n">
        <v>46317</v>
      </c>
      <c r="F286" t="inlineStr">
        <is>
          <t>VÄSTERBOTTENS LÄN</t>
        </is>
      </c>
      <c r="G286" t="inlineStr">
        <is>
          <t>MALÅ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46276</v>
      </c>
      <c r="E287" s="1" t="n">
        <v>46317</v>
      </c>
      <c r="F287" t="inlineStr">
        <is>
          <t>VÄSTERBOTTENS LÄN</t>
        </is>
      </c>
      <c r="G287" t="inlineStr">
        <is>
          <t>MALÅ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46276</v>
      </c>
      <c r="E288" s="1" t="n">
        <v>46317</v>
      </c>
      <c r="F288" t="inlineStr">
        <is>
          <t>VÄSTERBOTTENS LÄN</t>
        </is>
      </c>
      <c r="G288" t="inlineStr">
        <is>
          <t>MALÅ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46232</v>
      </c>
      <c r="E289" s="1" t="n">
        <v>46317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46279</v>
      </c>
      <c r="E290" s="1" t="n">
        <v>46317</v>
      </c>
      <c r="F290" t="inlineStr">
        <is>
          <t>VÄSTERBOTTENS LÄN</t>
        </is>
      </c>
      <c r="G290" t="inlineStr">
        <is>
          <t>MALÅ</t>
        </is>
      </c>
      <c r="H290" t="inlineStr">
        <is>
          <t>SCA</t>
        </is>
      </c>
      <c r="I290" t="n">
        <v>10.5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46317</v>
      </c>
      <c r="F291" t="inlineStr">
        <is>
          <t>VÄSTERBOTTENS LÄN</t>
        </is>
      </c>
      <c r="G291" t="inlineStr">
        <is>
          <t>MALÅ</t>
        </is>
      </c>
      <c r="I291" t="n">
        <v>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46317</v>
      </c>
      <c r="F292" t="inlineStr">
        <is>
          <t>VÄSTERBOTTENS LÄN</t>
        </is>
      </c>
      <c r="G292" t="inlineStr">
        <is>
          <t>MALÅ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46317</v>
      </c>
      <c r="F293" t="inlineStr">
        <is>
          <t>VÄSTERBOTTENS LÄN</t>
        </is>
      </c>
      <c r="G293" t="inlineStr">
        <is>
          <t>MALÅ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44426-2023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45188</v>
      </c>
      <c r="E294" s="1" t="n">
        <v>46317</v>
      </c>
      <c r="F294" t="inlineStr">
        <is>
          <t>VÄSTERBOTTENS LÄN</t>
        </is>
      </c>
      <c r="G294" t="inlineStr">
        <is>
          <t>MALÅ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41792-2023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45176</v>
      </c>
      <c r="E295" s="1" t="n">
        <v>46317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46317</v>
      </c>
      <c r="F296" t="inlineStr">
        <is>
          <t>VÄSTERBOTTENS LÄN</t>
        </is>
      </c>
      <c r="G296" t="inlineStr">
        <is>
          <t>MALÅ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46317</v>
      </c>
      <c r="F297" t="inlineStr">
        <is>
          <t>VÄSTERBOTTENS LÄN</t>
        </is>
      </c>
      <c r="G297" t="inlineStr">
        <is>
          <t>MALÅ</t>
        </is>
      </c>
      <c r="I297" t="n">
        <v>11.4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67679-2021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44524</v>
      </c>
      <c r="E298" s="1" t="n">
        <v>46317</v>
      </c>
      <c r="F298" t="inlineStr">
        <is>
          <t>VÄSTERBOTTENS LÄN</t>
        </is>
      </c>
      <c r="G298" t="inlineStr">
        <is>
          <t>MALÅ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46317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45625</v>
      </c>
      <c r="E300" s="1" t="n">
        <v>46317</v>
      </c>
      <c r="F300" t="inlineStr">
        <is>
          <t>VÄSTERBOTTENS LÄN</t>
        </is>
      </c>
      <c r="G300" t="inlineStr">
        <is>
          <t>MALÅ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45204</v>
      </c>
      <c r="E301" s="1" t="n">
        <v>46317</v>
      </c>
      <c r="F301" t="inlineStr">
        <is>
          <t>VÄSTERBOTTENS LÄN</t>
        </is>
      </c>
      <c r="G301" t="inlineStr">
        <is>
          <t>MALÅ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45244</v>
      </c>
      <c r="E302" s="1" t="n">
        <v>46317</v>
      </c>
      <c r="F302" t="inlineStr">
        <is>
          <t>VÄSTERBOTTENS LÄN</t>
        </is>
      </c>
      <c r="G302" t="inlineStr">
        <is>
          <t>MALÅ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45642</v>
      </c>
      <c r="E303" s="1" t="n">
        <v>46317</v>
      </c>
      <c r="F303" t="inlineStr">
        <is>
          <t>VÄSTERBOTTENS LÄN</t>
        </is>
      </c>
      <c r="G303" t="inlineStr">
        <is>
          <t>MALÅ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45667</v>
      </c>
      <c r="E304" s="1" t="n">
        <v>46317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45595</v>
      </c>
      <c r="E305" s="1" t="n">
        <v>46317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46317</v>
      </c>
      <c r="F306" t="inlineStr">
        <is>
          <t>VÄSTERBOTTENS LÄN</t>
        </is>
      </c>
      <c r="G306" t="inlineStr">
        <is>
          <t>MALÅ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45233</v>
      </c>
      <c r="E307" s="1" t="n">
        <v>46317</v>
      </c>
      <c r="F307" t="inlineStr">
        <is>
          <t>VÄSTERBOTTENS LÄN</t>
        </is>
      </c>
      <c r="G307" t="inlineStr">
        <is>
          <t>MALÅ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42183-2023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45178</v>
      </c>
      <c r="E308" s="1" t="n">
        <v>46317</v>
      </c>
      <c r="F308" t="inlineStr">
        <is>
          <t>VÄSTERBOTTENS LÄN</t>
        </is>
      </c>
      <c r="G308" t="inlineStr">
        <is>
          <t>MALÅ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46317</v>
      </c>
      <c r="F309" t="inlineStr">
        <is>
          <t>VÄSTERBOTTENS LÄN</t>
        </is>
      </c>
      <c r="G309" t="inlineStr">
        <is>
          <t>MALÅ</t>
        </is>
      </c>
      <c r="H309" t="inlineStr">
        <is>
          <t>SCA</t>
        </is>
      </c>
      <c r="I309" t="n">
        <v>11.5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46317</v>
      </c>
      <c r="F310" t="inlineStr">
        <is>
          <t>VÄSTERBOTTENS LÄN</t>
        </is>
      </c>
      <c r="G310" t="inlineStr">
        <is>
          <t>MALÅ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46289</v>
      </c>
      <c r="E311" s="1" t="n">
        <v>46317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46289</v>
      </c>
      <c r="E312" s="1" t="n">
        <v>46317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39657-2026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46289</v>
      </c>
      <c r="E313" s="1" t="n">
        <v>46317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46317</v>
      </c>
      <c r="F314" t="inlineStr">
        <is>
          <t>VÄSTERBOTTENS LÄN</t>
        </is>
      </c>
      <c r="G314" t="inlineStr">
        <is>
          <t>MALÅ</t>
        </is>
      </c>
      <c r="I314" t="n">
        <v>19.2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46289</v>
      </c>
      <c r="E315" s="1" t="n">
        <v>46317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49835-2023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45210</v>
      </c>
      <c r="E316" s="1" t="n">
        <v>46317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46248</v>
      </c>
      <c r="E317" s="1" t="n">
        <v>46317</v>
      </c>
      <c r="F317" t="inlineStr">
        <is>
          <t>VÄSTERBOTTENS LÄN</t>
        </is>
      </c>
      <c r="G317" t="inlineStr">
        <is>
          <t>MALÅ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46317</v>
      </c>
      <c r="F318" t="inlineStr">
        <is>
          <t>VÄSTERBOTTENS LÄN</t>
        </is>
      </c>
      <c r="G318" t="inlineStr">
        <is>
          <t>MALÅ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46317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53068-2023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45227</v>
      </c>
      <c r="E320" s="1" t="n">
        <v>46317</v>
      </c>
      <c r="F320" t="inlineStr">
        <is>
          <t>VÄSTERBOTTENS LÄN</t>
        </is>
      </c>
      <c r="G320" t="inlineStr">
        <is>
          <t>MALÅ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46317</v>
      </c>
      <c r="F321" t="inlineStr">
        <is>
          <t>VÄSTERBOTTENS LÄN</t>
        </is>
      </c>
      <c r="G321" t="inlineStr">
        <is>
          <t>MALÅ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39639-2026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46317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46317</v>
      </c>
      <c r="F323" t="inlineStr">
        <is>
          <t>VÄSTERBOTTENS LÄN</t>
        </is>
      </c>
      <c r="G323" t="inlineStr">
        <is>
          <t>MALÅ</t>
        </is>
      </c>
      <c r="I323" t="n">
        <v>8.199999999999999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46317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45222</v>
      </c>
      <c r="E325" s="1" t="n">
        <v>46317</v>
      </c>
      <c r="F325" t="inlineStr">
        <is>
          <t>VÄSTERBOTTENS LÄN</t>
        </is>
      </c>
      <c r="G325" t="inlineStr">
        <is>
          <t>MALÅ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60577-2022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46317</v>
      </c>
      <c r="F326" t="inlineStr">
        <is>
          <t>VÄSTERBOTTENS LÄN</t>
        </is>
      </c>
      <c r="G326" t="inlineStr">
        <is>
          <t>MALÅ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46251</v>
      </c>
      <c r="E327" s="1" t="n">
        <v>46317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46317</v>
      </c>
      <c r="F328" t="inlineStr">
        <is>
          <t>VÄSTERBOTTENS LÄN</t>
        </is>
      </c>
      <c r="G328" t="inlineStr">
        <is>
          <t>MALÅ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46317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46317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45175</v>
      </c>
      <c r="E331" s="1" t="n">
        <v>46317</v>
      </c>
      <c r="F331" t="inlineStr">
        <is>
          <t>VÄSTERBOTTENS LÄN</t>
        </is>
      </c>
      <c r="G331" t="inlineStr">
        <is>
          <t>MALÅ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46253</v>
      </c>
      <c r="E332" s="1" t="n">
        <v>46317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15.6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46253</v>
      </c>
      <c r="E333" s="1" t="n">
        <v>46317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34249-2026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46317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46317</v>
      </c>
      <c r="F335" t="inlineStr">
        <is>
          <t>VÄSTERBOTTENS LÄN</t>
        </is>
      </c>
      <c r="G335" t="inlineStr">
        <is>
          <t>MALÅ</t>
        </is>
      </c>
      <c r="I335" t="n">
        <v>30.4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45636</v>
      </c>
      <c r="E336" s="1" t="n">
        <v>46317</v>
      </c>
      <c r="F336" t="inlineStr">
        <is>
          <t>VÄSTERBOTTENS LÄN</t>
        </is>
      </c>
      <c r="G336" t="inlineStr">
        <is>
          <t>MALÅ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29450-2024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45483</v>
      </c>
      <c r="E337" s="1" t="n">
        <v>46317</v>
      </c>
      <c r="F337" t="inlineStr">
        <is>
          <t>VÄSTERBOTTENS LÄN</t>
        </is>
      </c>
      <c r="G337" t="inlineStr">
        <is>
          <t>MALÅ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58894-2025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45987</v>
      </c>
      <c r="E338" s="1" t="n">
        <v>46317</v>
      </c>
      <c r="F338" t="inlineStr">
        <is>
          <t>VÄSTERBOTTENS LÄN</t>
        </is>
      </c>
      <c r="G338" t="inlineStr">
        <is>
          <t>MALÅ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45152</v>
      </c>
      <c r="E339" s="1" t="n">
        <v>46317</v>
      </c>
      <c r="F339" t="inlineStr">
        <is>
          <t>VÄSTERBOTTENS LÄN</t>
        </is>
      </c>
      <c r="G339" t="inlineStr">
        <is>
          <t>MALÅ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46246</v>
      </c>
      <c r="E340" s="1" t="n">
        <v>46317</v>
      </c>
      <c r="F340" t="inlineStr">
        <is>
          <t>VÄSTERBOTTENS LÄN</t>
        </is>
      </c>
      <c r="G340" t="inlineStr">
        <is>
          <t>MALÅ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45454</v>
      </c>
      <c r="E341" s="1" t="n">
        <v>46317</v>
      </c>
      <c r="F341" t="inlineStr">
        <is>
          <t>VÄSTERBOTTENS LÄN</t>
        </is>
      </c>
      <c r="G341" t="inlineStr">
        <is>
          <t>MALÅ</t>
        </is>
      </c>
      <c r="I341" t="n">
        <v>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46317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18.4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46260</v>
      </c>
      <c r="E343" s="1" t="n">
        <v>46317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14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36286-2025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45867</v>
      </c>
      <c r="E344" s="1" t="n">
        <v>46317</v>
      </c>
      <c r="F344" t="inlineStr">
        <is>
          <t>VÄSTERBOTTENS LÄN</t>
        </is>
      </c>
      <c r="G344" t="inlineStr">
        <is>
          <t>MALÅ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46310</v>
      </c>
      <c r="E345" s="1" t="n">
        <v>46317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46310</v>
      </c>
      <c r="E346" s="1" t="n">
        <v>46317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9.6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46309</v>
      </c>
      <c r="E347" s="1" t="n">
        <v>46317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43355-2026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46314</v>
      </c>
      <c r="E348" s="1" t="n">
        <v>46317</v>
      </c>
      <c r="F348" t="inlineStr">
        <is>
          <t>VÄSTERBOTTENS LÄN</t>
        </is>
      </c>
      <c r="G348" t="inlineStr">
        <is>
          <t>MALÅ</t>
        </is>
      </c>
      <c r="H348" t="inlineStr">
        <is>
          <t>Sveaskog</t>
        </is>
      </c>
      <c r="I348" t="n">
        <v>9.5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46317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2026-10-22T01:56:47Z</dcterms:created>
  <dcterms:modified xmlns:dcterms="http://purl.org/dc/terms/" xmlns:xsi="http://www.w3.org/2001/XMLSchema-instance" xsi:type="dcterms:W3CDTF">2026-10-22T01:56:47Z</dcterms:modified>
</cp:coreProperties>
</file>