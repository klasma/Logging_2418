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46314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42818-2026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46309</v>
      </c>
      <c r="E3" s="1" t="n">
        <v>46314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19.8</v>
      </c>
      <c r="J3" t="n">
        <v>1</v>
      </c>
      <c r="K3" t="n">
        <v>0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4</v>
      </c>
      <c r="U3" t="n">
        <v>2</v>
      </c>
      <c r="V3" s="2" t="inlineStr">
        <is>
          <t>Garnlav
Gränsticka
Kolflarnlav
Fjällummer × plattlummer</t>
        </is>
      </c>
      <c r="W3">
        <f>HYPERLINK("https://klasma.github.io/Logging_2418/artfynd/A 42818-2026 artfynd.xlsx", "A 42818-2026")</f>
        <v/>
      </c>
      <c r="X3">
        <f>HYPERLINK("https://klasma.github.io/Logging_2418/kartor/A 42818-2026 karta.png", "A 42818-2026")</f>
        <v/>
      </c>
      <c r="Y3">
        <f>HYPERLINK("https://klasma.github.io/Logging_2418/kartor_geotiff/A 42818-2026 georefererad karta.tif", "A 42818-2026")</f>
        <v/>
      </c>
      <c r="AA3">
        <f>HYPERLINK("https://klasma.github.io/Logging_2418/klagomål/A 42818-2026 FSC-klagomål.docx", "A 42818-2026")</f>
        <v/>
      </c>
      <c r="AB3">
        <f>HYPERLINK("https://klasma.github.io/Logging_2418/klagomålsmail/A 42818-2026 FSC-klagomål mail.docx", "A 42818-2026")</f>
        <v/>
      </c>
      <c r="AC3">
        <f>HYPERLINK("https://klasma.github.io/Logging_2418/tillsyn/A 42818-2026 tillsynsbegäran.docx", "A 42818-2026")</f>
        <v/>
      </c>
      <c r="AD3">
        <f>HYPERLINK("https://klasma.github.io/Logging_2418/tillsynsmail/A 42818-2026 tillsynsbegäran mail.docx", "A 42818-2026")</f>
        <v/>
      </c>
    </row>
    <row r="4" ht="15" customHeight="1">
      <c r="A4" t="inlineStr">
        <is>
          <t>A 39692-2024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45552</v>
      </c>
      <c r="E4" s="1" t="n">
        <v>46314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15.8</v>
      </c>
      <c r="J4" t="n">
        <v>1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Blå taggsvamp
Orange taggsvamp
Skarp dropptaggsvamp
Plattlummer</t>
        </is>
      </c>
      <c r="W4">
        <f>HYPERLINK("https://klasma.github.io/Logging_2418/artfynd/A 39692-2024 artfynd.xlsx", "A 39692-2024")</f>
        <v/>
      </c>
      <c r="X4">
        <f>HYPERLINK("https://klasma.github.io/Logging_2418/kartor/A 39692-2024 karta.png", "A 39692-2024")</f>
        <v/>
      </c>
      <c r="Y4">
        <f>HYPERLINK("https://klasma.github.io/Logging_2418/kartor_geotiff/A 39692-2024 georefererad karta.tif", "A 39692-2024")</f>
        <v/>
      </c>
      <c r="AA4">
        <f>HYPERLINK("https://klasma.github.io/Logging_2418/klagomål/A 39692-2024 FSC-klagomål.docx", "A 39692-2024")</f>
        <v/>
      </c>
      <c r="AB4">
        <f>HYPERLINK("https://klasma.github.io/Logging_2418/klagomålsmail/A 39692-2024 FSC-klagomål mail.docx", "A 39692-2024")</f>
        <v/>
      </c>
      <c r="AC4">
        <f>HYPERLINK("https://klasma.github.io/Logging_2418/tillsyn/A 39692-2024 tillsynsbegäran.docx", "A 39692-2024")</f>
        <v/>
      </c>
      <c r="AD4">
        <f>HYPERLINK("https://klasma.github.io/Logging_2418/tillsynsmail/A 39692-2024 tillsynsbegäran mail.docx", "A 39692-2024")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46314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46314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46314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52129-2024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45608</v>
      </c>
      <c r="E8" s="1" t="n">
        <v>46314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Gammelgransskål</t>
        </is>
      </c>
      <c r="W8">
        <f>HYPERLINK("https://klasma.github.io/Logging_2418/artfynd/A 52129-2024 artfynd.xlsx", "A 52129-2024")</f>
        <v/>
      </c>
      <c r="X8">
        <f>HYPERLINK("https://klasma.github.io/Logging_2418/kartor/A 52129-2024 karta.png", "A 52129-2024")</f>
        <v/>
      </c>
      <c r="Y8">
        <f>HYPERLINK("https://klasma.github.io/Logging_2418/kartor_geotiff/A 52129-2024 georefererad karta.tif", "A 52129-2024")</f>
        <v/>
      </c>
      <c r="AA8">
        <f>HYPERLINK("https://klasma.github.io/Logging_2418/klagomål/A 52129-2024 FSC-klagomål.docx", "A 52129-2024")</f>
        <v/>
      </c>
      <c r="AB8">
        <f>HYPERLINK("https://klasma.github.io/Logging_2418/klagomålsmail/A 52129-2024 FSC-klagomål mail.docx", "A 52129-2024")</f>
        <v/>
      </c>
      <c r="AC8">
        <f>HYPERLINK("https://klasma.github.io/Logging_2418/tillsyn/A 52129-2024 tillsynsbegäran.docx", "A 52129-2024")</f>
        <v/>
      </c>
      <c r="AD8">
        <f>HYPERLINK("https://klasma.github.io/Logging_2418/tillsynsmail/A 52129-2024 tillsynsbegäran mail.docx", "A 52129-2024")</f>
        <v/>
      </c>
    </row>
    <row r="9" ht="15" customHeight="1">
      <c r="A9" t="inlineStr">
        <is>
          <t>A 49040-2025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46314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5.5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Orange taggsvamp</t>
        </is>
      </c>
      <c r="W9">
        <f>HYPERLINK("https://klasma.github.io/Logging_2418/artfynd/A 49040-2025 artfynd.xlsx", "A 49040-2025")</f>
        <v/>
      </c>
      <c r="X9">
        <f>HYPERLINK("https://klasma.github.io/Logging_2418/kartor/A 49040-2025 karta.png", "A 49040-2025")</f>
        <v/>
      </c>
      <c r="Y9">
        <f>HYPERLINK("https://klasma.github.io/Logging_2418/kartor_geotiff/A 49040-2025 georefererad karta.tif", "A 49040-2025")</f>
        <v/>
      </c>
      <c r="AA9">
        <f>HYPERLINK("https://klasma.github.io/Logging_2418/klagomål/A 49040-2025 FSC-klagomål.docx", "A 49040-2025")</f>
        <v/>
      </c>
      <c r="AB9">
        <f>HYPERLINK("https://klasma.github.io/Logging_2418/klagomålsmail/A 49040-2025 FSC-klagomål mail.docx", "A 49040-2025")</f>
        <v/>
      </c>
      <c r="AC9">
        <f>HYPERLINK("https://klasma.github.io/Logging_2418/tillsyn/A 49040-2025 tillsynsbegäran.docx", "A 49040-2025")</f>
        <v/>
      </c>
      <c r="AD9">
        <f>HYPERLINK("https://klasma.github.io/Logging_2418/tillsynsmail/A 49040-2025 tillsynsbegäran mail.docx", "A 49040-2025")</f>
        <v/>
      </c>
    </row>
    <row r="10" ht="15" customHeight="1">
      <c r="A10" t="inlineStr">
        <is>
          <t>A 48895-2025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46314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11.7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Tallticka</t>
        </is>
      </c>
      <c r="W10">
        <f>HYPERLINK("https://klasma.github.io/Logging_2418/artfynd/A 48895-2025 artfynd.xlsx", "A 48895-2025")</f>
        <v/>
      </c>
      <c r="X10">
        <f>HYPERLINK("https://klasma.github.io/Logging_2418/kartor/A 48895-2025 karta.png", "A 48895-2025")</f>
        <v/>
      </c>
      <c r="Y10">
        <f>HYPERLINK("https://klasma.github.io/Logging_2418/kartor_geotiff/A 48895-2025 georefererad karta.tif", "A 48895-2025")</f>
        <v/>
      </c>
      <c r="AA10">
        <f>HYPERLINK("https://klasma.github.io/Logging_2418/klagomål/A 48895-2025 FSC-klagomål.docx", "A 48895-2025")</f>
        <v/>
      </c>
      <c r="AB10">
        <f>HYPERLINK("https://klasma.github.io/Logging_2418/klagomålsmail/A 48895-2025 FSC-klagomål mail.docx", "A 48895-2025")</f>
        <v/>
      </c>
      <c r="AC10">
        <f>HYPERLINK("https://klasma.github.io/Logging_2418/tillsyn/A 48895-2025 tillsynsbegäran.docx", "A 48895-2025")</f>
        <v/>
      </c>
      <c r="AD10">
        <f>HYPERLINK("https://klasma.github.io/Logging_2418/tillsynsmail/A 48895-2025 tillsynsbegäran mail.docx", "A 48895-2025")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46314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41840-2023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45176</v>
      </c>
      <c r="E12" s="1" t="n">
        <v>46314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15.9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Robust tickgnagare</t>
        </is>
      </c>
      <c r="W12">
        <f>HYPERLINK("https://klasma.github.io/Logging_2418/artfynd/A 41840-2023 artfynd.xlsx", "A 41840-2023")</f>
        <v/>
      </c>
      <c r="X12">
        <f>HYPERLINK("https://klasma.github.io/Logging_2418/kartor/A 41840-2023 karta.png", "A 41840-2023")</f>
        <v/>
      </c>
      <c r="Y12">
        <f>HYPERLINK("https://klasma.github.io/Logging_2418/kartor_geotiff/A 41840-2023 georefererad karta.tif", "A 41840-2023")</f>
        <v/>
      </c>
      <c r="AA12">
        <f>HYPERLINK("https://klasma.github.io/Logging_2418/klagomål/A 41840-2023 FSC-klagomål.docx", "A 41840-2023")</f>
        <v/>
      </c>
      <c r="AB12">
        <f>HYPERLINK("https://klasma.github.io/Logging_2418/klagomålsmail/A 41840-2023 FSC-klagomål mail.docx", "A 41840-2023")</f>
        <v/>
      </c>
      <c r="AC12">
        <f>HYPERLINK("https://klasma.github.io/Logging_2418/tillsyn/A 41840-2023 tillsynsbegäran.docx", "A 41840-2023")</f>
        <v/>
      </c>
      <c r="AD12">
        <f>HYPERLINK("https://klasma.github.io/Logging_2418/tillsynsmail/A 41840-2023 tillsynsbegäran mail.docx", "A 41840-2023")</f>
        <v/>
      </c>
    </row>
    <row r="13" ht="15" customHeight="1">
      <c r="A13" t="inlineStr">
        <is>
          <t>A 35181-2026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46260</v>
      </c>
      <c r="E13" s="1" t="n">
        <v>46314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7.9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Kolflarnlav</t>
        </is>
      </c>
      <c r="W13">
        <f>HYPERLINK("https://klasma.github.io/Logging_2418/artfynd/A 35181-2026 artfynd.xlsx", "A 35181-2026")</f>
        <v/>
      </c>
      <c r="X13">
        <f>HYPERLINK("https://klasma.github.io/Logging_2418/kartor/A 35181-2026 karta.png", "A 35181-2026")</f>
        <v/>
      </c>
      <c r="Y13">
        <f>HYPERLINK("https://klasma.github.io/Logging_2418/kartor_geotiff/A 35181-2026 georefererad karta.tif", "A 35181-2026")</f>
        <v/>
      </c>
      <c r="AA13">
        <f>HYPERLINK("https://klasma.github.io/Logging_2418/klagomål/A 35181-2026 FSC-klagomål.docx", "A 35181-2026")</f>
        <v/>
      </c>
      <c r="AB13">
        <f>HYPERLINK("https://klasma.github.io/Logging_2418/klagomålsmail/A 35181-2026 FSC-klagomål mail.docx", "A 35181-2026")</f>
        <v/>
      </c>
      <c r="AC13">
        <f>HYPERLINK("https://klasma.github.io/Logging_2418/tillsyn/A 35181-2026 tillsynsbegäran.docx", "A 35181-2026")</f>
        <v/>
      </c>
      <c r="AD13">
        <f>HYPERLINK("https://klasma.github.io/Logging_2418/tillsynsmail/A 35181-2026 tillsynsbegäran mail.docx", "A 35181-2026")</f>
        <v/>
      </c>
    </row>
    <row r="14" ht="15" customHeight="1">
      <c r="A14" t="inlineStr">
        <is>
          <t>A 42817-2026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46309</v>
      </c>
      <c r="E14" s="1" t="n">
        <v>46314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24.6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Dropptaggsvamp</t>
        </is>
      </c>
      <c r="W14">
        <f>HYPERLINK("https://klasma.github.io/Logging_2418/artfynd/A 42817-2026 artfynd.xlsx", "A 42817-2026")</f>
        <v/>
      </c>
      <c r="X14">
        <f>HYPERLINK("https://klasma.github.io/Logging_2418/kartor/A 42817-2026 karta.png", "A 42817-2026")</f>
        <v/>
      </c>
      <c r="Y14">
        <f>HYPERLINK("https://klasma.github.io/Logging_2418/kartor_geotiff/A 42817-2026 georefererad karta.tif", "A 42817-2026")</f>
        <v/>
      </c>
      <c r="AA14">
        <f>HYPERLINK("https://klasma.github.io/Logging_2418/klagomål/A 42817-2026 FSC-klagomål.docx", "A 42817-2026")</f>
        <v/>
      </c>
      <c r="AB14">
        <f>HYPERLINK("https://klasma.github.io/Logging_2418/klagomålsmail/A 42817-2026 FSC-klagomål mail.docx", "A 42817-2026")</f>
        <v/>
      </c>
      <c r="AC14">
        <f>HYPERLINK("https://klasma.github.io/Logging_2418/tillsyn/A 42817-2026 tillsynsbegäran.docx", "A 42817-2026")</f>
        <v/>
      </c>
      <c r="AD14">
        <f>HYPERLINK("https://klasma.github.io/Logging_2418/tillsynsmail/A 42817-2026 tillsynsbegäran mail.docx", "A 42817-2026")</f>
        <v/>
      </c>
    </row>
    <row r="15" ht="15" customHeight="1">
      <c r="A15" t="inlineStr">
        <is>
          <t>A 46026-2022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44846</v>
      </c>
      <c r="E15" s="1" t="n">
        <v>46314</v>
      </c>
      <c r="F15" t="inlineStr">
        <is>
          <t>VÄSTERBOTTENS LÄN</t>
        </is>
      </c>
      <c r="G15" t="inlineStr">
        <is>
          <t>MALÅ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48144-2022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44858</v>
      </c>
      <c r="E16" s="1" t="n">
        <v>46314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46314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46314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46314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46314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54841-2023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45236</v>
      </c>
      <c r="E21" s="1" t="n">
        <v>46314</v>
      </c>
      <c r="F21" t="inlineStr">
        <is>
          <t>VÄSTERBOTTENS LÄN</t>
        </is>
      </c>
      <c r="G21" t="inlineStr">
        <is>
          <t>MALÅ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45238</v>
      </c>
      <c r="E22" s="1" t="n">
        <v>46314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15857-2023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45022</v>
      </c>
      <c r="E23" s="1" t="n">
        <v>46314</v>
      </c>
      <c r="F23" t="inlineStr">
        <is>
          <t>VÄSTERBOTTENS LÄN</t>
        </is>
      </c>
      <c r="G23" t="inlineStr">
        <is>
          <t>MALÅ</t>
        </is>
      </c>
      <c r="I23" t="n">
        <v>5.6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45807-2023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46314</v>
      </c>
      <c r="F24" t="inlineStr">
        <is>
          <t>VÄSTERBOTTENS LÄN</t>
        </is>
      </c>
      <c r="G24" t="inlineStr">
        <is>
          <t>MALÅ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53657-2023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46314</v>
      </c>
      <c r="F25" t="inlineStr">
        <is>
          <t>VÄSTERBOTTENS LÄN</t>
        </is>
      </c>
      <c r="G25" t="inlineStr">
        <is>
          <t>MALÅ</t>
        </is>
      </c>
      <c r="H25" t="inlineStr">
        <is>
          <t>Sveaskog</t>
        </is>
      </c>
      <c r="I25" t="n">
        <v>11.3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60168-2024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45639</v>
      </c>
      <c r="E26" s="1" t="n">
        <v>46314</v>
      </c>
      <c r="F26" t="inlineStr">
        <is>
          <t>VÄSTERBOTTENS LÄN</t>
        </is>
      </c>
      <c r="G26" t="inlineStr">
        <is>
          <t>MALÅ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37535-2023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45158</v>
      </c>
      <c r="E27" s="1" t="n">
        <v>46314</v>
      </c>
      <c r="F27" t="inlineStr">
        <is>
          <t>VÄSTERBOTTENS LÄN</t>
        </is>
      </c>
      <c r="G27" t="inlineStr">
        <is>
          <t>MALÅ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13432-2025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45736</v>
      </c>
      <c r="E28" s="1" t="n">
        <v>46314</v>
      </c>
      <c r="F28" t="inlineStr">
        <is>
          <t>VÄSTERBOTTENS LÄN</t>
        </is>
      </c>
      <c r="G28" t="inlineStr">
        <is>
          <t>MALÅ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45202</v>
      </c>
      <c r="E29" s="1" t="n">
        <v>46314</v>
      </c>
      <c r="F29" t="inlineStr">
        <is>
          <t>VÄSTERBOTTENS LÄN</t>
        </is>
      </c>
      <c r="G29" t="inlineStr">
        <is>
          <t>MALÅ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46063-2023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46314</v>
      </c>
      <c r="F30" t="inlineStr">
        <is>
          <t>VÄSTERBOTTENS LÄN</t>
        </is>
      </c>
      <c r="G30" t="inlineStr">
        <is>
          <t>MALÅ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39214-2023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45166</v>
      </c>
      <c r="E31" s="1" t="n">
        <v>46314</v>
      </c>
      <c r="F31" t="inlineStr">
        <is>
          <t>VÄSTERBOTTENS LÄN</t>
        </is>
      </c>
      <c r="G31" t="inlineStr">
        <is>
          <t>MALÅ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48348-2023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45201</v>
      </c>
      <c r="E32" s="1" t="n">
        <v>46314</v>
      </c>
      <c r="F32" t="inlineStr">
        <is>
          <t>VÄSTERBOTTENS LÄN</t>
        </is>
      </c>
      <c r="G32" t="inlineStr">
        <is>
          <t>MALÅ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45187</v>
      </c>
      <c r="E33" s="1" t="n">
        <v>46314</v>
      </c>
      <c r="F33" t="inlineStr">
        <is>
          <t>VÄSTERBOTTENS LÄN</t>
        </is>
      </c>
      <c r="G33" t="inlineStr">
        <is>
          <t>MALÅ</t>
        </is>
      </c>
      <c r="H33" t="inlineStr">
        <is>
          <t>SCA</t>
        </is>
      </c>
      <c r="I33" t="n">
        <v>11.5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46280-2023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45195</v>
      </c>
      <c r="E34" s="1" t="n">
        <v>46314</v>
      </c>
      <c r="F34" t="inlineStr">
        <is>
          <t>VÄSTERBOTTENS LÄN</t>
        </is>
      </c>
      <c r="G34" t="inlineStr">
        <is>
          <t>MALÅ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45102-2023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45190</v>
      </c>
      <c r="E35" s="1" t="n">
        <v>46314</v>
      </c>
      <c r="F35" t="inlineStr">
        <is>
          <t>VÄSTERBOTTENS LÄN</t>
        </is>
      </c>
      <c r="G35" t="inlineStr">
        <is>
          <t>MALÅ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44792</v>
      </c>
      <c r="E36" s="1" t="n">
        <v>46314</v>
      </c>
      <c r="F36" t="inlineStr">
        <is>
          <t>VÄSTERBOTTENS LÄN</t>
        </is>
      </c>
      <c r="G36" t="inlineStr">
        <is>
          <t>MALÅ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68036-2021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46314</v>
      </c>
      <c r="F37" t="inlineStr">
        <is>
          <t>VÄSTERBOTTENS LÄN</t>
        </is>
      </c>
      <c r="G37" t="inlineStr">
        <is>
          <t>MALÅ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43501-2023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45184</v>
      </c>
      <c r="E38" s="1" t="n">
        <v>46314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59561-2024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45638</v>
      </c>
      <c r="E39" s="1" t="n">
        <v>46314</v>
      </c>
      <c r="F39" t="inlineStr">
        <is>
          <t>VÄSTERBOTTENS LÄN</t>
        </is>
      </c>
      <c r="G39" t="inlineStr">
        <is>
          <t>MALÅ</t>
        </is>
      </c>
      <c r="I39" t="n">
        <v>11.4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46314</v>
      </c>
      <c r="F40" t="inlineStr">
        <is>
          <t>VÄSTERBOTTENS LÄN</t>
        </is>
      </c>
      <c r="G40" t="inlineStr">
        <is>
          <t>MALÅ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45217</v>
      </c>
      <c r="E41" s="1" t="n">
        <v>46314</v>
      </c>
      <c r="F41" t="inlineStr">
        <is>
          <t>VÄSTERBOTTENS LÄN</t>
        </is>
      </c>
      <c r="G41" t="inlineStr">
        <is>
          <t>MALÅ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39304-2023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45166</v>
      </c>
      <c r="E42" s="1" t="n">
        <v>46314</v>
      </c>
      <c r="F42" t="inlineStr">
        <is>
          <t>VÄSTERBOTTENS LÄN</t>
        </is>
      </c>
      <c r="G42" t="inlineStr">
        <is>
          <t>MALÅ</t>
        </is>
      </c>
      <c r="H42" t="inlineStr">
        <is>
          <t>Kyrkan</t>
        </is>
      </c>
      <c r="I42" t="n">
        <v>27.3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20234-2023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45054</v>
      </c>
      <c r="E43" s="1" t="n">
        <v>46314</v>
      </c>
      <c r="F43" t="inlineStr">
        <is>
          <t>VÄSTERBOTTENS LÄN</t>
        </is>
      </c>
      <c r="G43" t="inlineStr">
        <is>
          <t>MALÅ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49839-2023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45210</v>
      </c>
      <c r="E44" s="1" t="n">
        <v>46314</v>
      </c>
      <c r="F44" t="inlineStr">
        <is>
          <t>VÄSTERBOTTENS LÄN</t>
        </is>
      </c>
      <c r="G44" t="inlineStr">
        <is>
          <t>MALÅ</t>
        </is>
      </c>
      <c r="I44" t="n">
        <v>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45210</v>
      </c>
      <c r="E45" s="1" t="n">
        <v>46314</v>
      </c>
      <c r="F45" t="inlineStr">
        <is>
          <t>VÄSTERBOTTENS LÄN</t>
        </is>
      </c>
      <c r="G45" t="inlineStr">
        <is>
          <t>MALÅ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45022</v>
      </c>
      <c r="E46" s="1" t="n">
        <v>46314</v>
      </c>
      <c r="F46" t="inlineStr">
        <is>
          <t>VÄSTERBOTTENS LÄN</t>
        </is>
      </c>
      <c r="G46" t="inlineStr">
        <is>
          <t>MALÅ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15850-2023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45022</v>
      </c>
      <c r="E47" s="1" t="n">
        <v>46314</v>
      </c>
      <c r="F47" t="inlineStr">
        <is>
          <t>VÄSTERBOTTENS LÄN</t>
        </is>
      </c>
      <c r="G47" t="inlineStr">
        <is>
          <t>MALÅ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16212-2025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45750</v>
      </c>
      <c r="E48" s="1" t="n">
        <v>46314</v>
      </c>
      <c r="F48" t="inlineStr">
        <is>
          <t>VÄSTERBOTTENS LÄN</t>
        </is>
      </c>
      <c r="G48" t="inlineStr">
        <is>
          <t>MALÅ</t>
        </is>
      </c>
      <c r="I48" t="n">
        <v>6.1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53068-2023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45227</v>
      </c>
      <c r="E49" s="1" t="n">
        <v>46314</v>
      </c>
      <c r="F49" t="inlineStr">
        <is>
          <t>VÄSTERBOTTENS LÄN</t>
        </is>
      </c>
      <c r="G49" t="inlineStr">
        <is>
          <t>MALÅ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52480-2023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45225</v>
      </c>
      <c r="E50" s="1" t="n">
        <v>46314</v>
      </c>
      <c r="F50" t="inlineStr">
        <is>
          <t>VÄSTERBOTTENS LÄN</t>
        </is>
      </c>
      <c r="G50" t="inlineStr">
        <is>
          <t>MALÅ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45179</v>
      </c>
      <c r="E51" s="1" t="n">
        <v>46314</v>
      </c>
      <c r="F51" t="inlineStr">
        <is>
          <t>VÄSTERBOTTENS LÄN</t>
        </is>
      </c>
      <c r="G51" t="inlineStr">
        <is>
          <t>MALÅ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59067-2023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46314</v>
      </c>
      <c r="F52" t="inlineStr">
        <is>
          <t>VÄSTERBOTTENS LÄN</t>
        </is>
      </c>
      <c r="G52" t="inlineStr">
        <is>
          <t>MALÅ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42383-2023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46314</v>
      </c>
      <c r="F53" t="inlineStr">
        <is>
          <t>VÄSTERBOTTENS LÄN</t>
        </is>
      </c>
      <c r="G53" t="inlineStr">
        <is>
          <t>MALÅ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13001-2023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46314</v>
      </c>
      <c r="F54" t="inlineStr">
        <is>
          <t>VÄSTERBOTTENS LÄN</t>
        </is>
      </c>
      <c r="G54" t="inlineStr">
        <is>
          <t>MALÅ</t>
        </is>
      </c>
      <c r="H54" t="inlineStr">
        <is>
          <t>SCA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44426-2023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45188</v>
      </c>
      <c r="E55" s="1" t="n">
        <v>46314</v>
      </c>
      <c r="F55" t="inlineStr">
        <is>
          <t>VÄSTERBOTTENS LÄN</t>
        </is>
      </c>
      <c r="G55" t="inlineStr">
        <is>
          <t>MALÅ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58240-2022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44893</v>
      </c>
      <c r="E56" s="1" t="n">
        <v>46314</v>
      </c>
      <c r="F56" t="inlineStr">
        <is>
          <t>VÄSTERBOTTENS LÄN</t>
        </is>
      </c>
      <c r="G56" t="inlineStr">
        <is>
          <t>MALÅ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42183-2023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45178</v>
      </c>
      <c r="E57" s="1" t="n">
        <v>46314</v>
      </c>
      <c r="F57" t="inlineStr">
        <is>
          <t>VÄSTERBOTTENS LÄN</t>
        </is>
      </c>
      <c r="G57" t="inlineStr">
        <is>
          <t>MALÅ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41360-2023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45174</v>
      </c>
      <c r="E58" s="1" t="n">
        <v>46314</v>
      </c>
      <c r="F58" t="inlineStr">
        <is>
          <t>VÄSTERBOTTENS LÄN</t>
        </is>
      </c>
      <c r="G58" t="inlineStr">
        <is>
          <t>MALÅ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46314</v>
      </c>
      <c r="F59" t="inlineStr">
        <is>
          <t>VÄSTERBOTTENS LÄN</t>
        </is>
      </c>
      <c r="G59" t="inlineStr">
        <is>
          <t>MALÅ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45643</v>
      </c>
      <c r="E60" s="1" t="n">
        <v>46314</v>
      </c>
      <c r="F60" t="inlineStr">
        <is>
          <t>VÄSTERBOTTENS LÄN</t>
        </is>
      </c>
      <c r="G60" t="inlineStr">
        <is>
          <t>MALÅ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45645</v>
      </c>
      <c r="E61" s="1" t="n">
        <v>46314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56997-2023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45244</v>
      </c>
      <c r="E62" s="1" t="n">
        <v>46314</v>
      </c>
      <c r="F62" t="inlineStr">
        <is>
          <t>VÄSTERBOTTENS LÄN</t>
        </is>
      </c>
      <c r="G62" t="inlineStr">
        <is>
          <t>MALÅ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51383-2023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46314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39152-2023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45166</v>
      </c>
      <c r="E64" s="1" t="n">
        <v>46314</v>
      </c>
      <c r="F64" t="inlineStr">
        <is>
          <t>VÄSTERBOTTENS LÄN</t>
        </is>
      </c>
      <c r="G64" t="inlineStr">
        <is>
          <t>MALÅ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39153-2023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45166</v>
      </c>
      <c r="E65" s="1" t="n">
        <v>46314</v>
      </c>
      <c r="F65" t="inlineStr">
        <is>
          <t>VÄSTERBOTTENS LÄN</t>
        </is>
      </c>
      <c r="G65" t="inlineStr">
        <is>
          <t>MALÅ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39791-2023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45167</v>
      </c>
      <c r="E66" s="1" t="n">
        <v>46314</v>
      </c>
      <c r="F66" t="inlineStr">
        <is>
          <t>VÄSTERBOTTENS LÄN</t>
        </is>
      </c>
      <c r="G66" t="inlineStr">
        <is>
          <t>MALÅ</t>
        </is>
      </c>
      <c r="I66" t="n">
        <v>10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56638-2024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45625</v>
      </c>
      <c r="E67" s="1" t="n">
        <v>46314</v>
      </c>
      <c r="F67" t="inlineStr">
        <is>
          <t>VÄSTERBOTTENS LÄN</t>
        </is>
      </c>
      <c r="G67" t="inlineStr">
        <is>
          <t>MALÅ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56662-2024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46314</v>
      </c>
      <c r="F68" t="inlineStr">
        <is>
          <t>VÄSTERBOTTENS LÄN</t>
        </is>
      </c>
      <c r="G68" t="inlineStr">
        <is>
          <t>MALÅ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37326-2023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45154</v>
      </c>
      <c r="E69" s="1" t="n">
        <v>46314</v>
      </c>
      <c r="F69" t="inlineStr">
        <is>
          <t>VÄSTERBOTTENS LÄN</t>
        </is>
      </c>
      <c r="G69" t="inlineStr">
        <is>
          <t>MALÅ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45229</v>
      </c>
      <c r="E70" s="1" t="n">
        <v>46314</v>
      </c>
      <c r="F70" t="inlineStr">
        <is>
          <t>VÄSTERBOTTENS LÄN</t>
        </is>
      </c>
      <c r="G70" t="inlineStr">
        <is>
          <t>MALÅ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47434-2023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45197</v>
      </c>
      <c r="E71" s="1" t="n">
        <v>46314</v>
      </c>
      <c r="F71" t="inlineStr">
        <is>
          <t>VÄSTERBOTTENS LÄN</t>
        </is>
      </c>
      <c r="G71" t="inlineStr">
        <is>
          <t>MALÅ</t>
        </is>
      </c>
      <c r="I71" t="n">
        <v>10.9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37785-2023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45159</v>
      </c>
      <c r="E72" s="1" t="n">
        <v>46314</v>
      </c>
      <c r="F72" t="inlineStr">
        <is>
          <t>VÄSTERBOTTENS LÄN</t>
        </is>
      </c>
      <c r="G72" t="inlineStr">
        <is>
          <t>MALÅ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45700</v>
      </c>
      <c r="E73" s="1" t="n">
        <v>46314</v>
      </c>
      <c r="F73" t="inlineStr">
        <is>
          <t>VÄSTERBOTTENS LÄN</t>
        </is>
      </c>
      <c r="G73" t="inlineStr">
        <is>
          <t>MALÅ</t>
        </is>
      </c>
      <c r="H73" t="inlineStr">
        <is>
          <t>SCA</t>
        </is>
      </c>
      <c r="I73" t="n">
        <v>10.2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49011-2023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45204</v>
      </c>
      <c r="E74" s="1" t="n">
        <v>46314</v>
      </c>
      <c r="F74" t="inlineStr">
        <is>
          <t>VÄSTERBOTTENS LÄN</t>
        </is>
      </c>
      <c r="G74" t="inlineStr">
        <is>
          <t>MALÅ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49013-2023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45204</v>
      </c>
      <c r="E75" s="1" t="n">
        <v>46314</v>
      </c>
      <c r="F75" t="inlineStr">
        <is>
          <t>VÄSTERBOTTENS LÄN</t>
        </is>
      </c>
      <c r="G75" t="inlineStr">
        <is>
          <t>MALÅ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45176</v>
      </c>
      <c r="E76" s="1" t="n">
        <v>46314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10.7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41852-2023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46314</v>
      </c>
      <c r="F77" t="inlineStr">
        <is>
          <t>VÄSTERBOTTENS LÄN</t>
        </is>
      </c>
      <c r="G77" t="inlineStr">
        <is>
          <t>MALÅ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60624-2024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46314</v>
      </c>
      <c r="F78" t="inlineStr">
        <is>
          <t>VÄSTERBOTTENS LÄN</t>
        </is>
      </c>
      <c r="G78" t="inlineStr">
        <is>
          <t>MALÅ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60702-2024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45642</v>
      </c>
      <c r="E79" s="1" t="n">
        <v>46314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7007-2023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46314</v>
      </c>
      <c r="F80" t="inlineStr">
        <is>
          <t>VÄSTERBOTTENS LÄN</t>
        </is>
      </c>
      <c r="G80" t="inlineStr">
        <is>
          <t>MALÅ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45152</v>
      </c>
      <c r="E81" s="1" t="n">
        <v>46314</v>
      </c>
      <c r="F81" t="inlineStr">
        <is>
          <t>VÄSTERBOTTENS LÄN</t>
        </is>
      </c>
      <c r="G81" t="inlineStr">
        <is>
          <t>MALÅ</t>
        </is>
      </c>
      <c r="I81" t="n">
        <v>41.7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45890</v>
      </c>
      <c r="E82" s="1" t="n">
        <v>46314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46314</v>
      </c>
      <c r="F83" t="inlineStr">
        <is>
          <t>VÄSTERBOTTENS LÄN</t>
        </is>
      </c>
      <c r="G83" t="inlineStr">
        <is>
          <t>MALÅ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39614-2025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45890</v>
      </c>
      <c r="E84" s="1" t="n">
        <v>46314</v>
      </c>
      <c r="F84" t="inlineStr">
        <is>
          <t>VÄSTERBOTTENS LÄN</t>
        </is>
      </c>
      <c r="G84" t="inlineStr">
        <is>
          <t>MALÅ</t>
        </is>
      </c>
      <c r="H84" t="inlineStr">
        <is>
          <t>Sveaskog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46314</v>
      </c>
      <c r="F85" t="inlineStr">
        <is>
          <t>VÄSTERBOTTENS LÄN</t>
        </is>
      </c>
      <c r="G85" t="inlineStr">
        <is>
          <t>MALÅ</t>
        </is>
      </c>
      <c r="H85" t="inlineStr">
        <is>
          <t>Sveaskog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45502</v>
      </c>
      <c r="E86" s="1" t="n">
        <v>46314</v>
      </c>
      <c r="F86" t="inlineStr">
        <is>
          <t>VÄSTERBOTTENS LÄN</t>
        </is>
      </c>
      <c r="G86" t="inlineStr">
        <is>
          <t>MALÅ</t>
        </is>
      </c>
      <c r="I86" t="n">
        <v>7.3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37171-2023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45154</v>
      </c>
      <c r="E87" s="1" t="n">
        <v>46314</v>
      </c>
      <c r="F87" t="inlineStr">
        <is>
          <t>VÄSTERBOTTENS LÄN</t>
        </is>
      </c>
      <c r="G87" t="inlineStr">
        <is>
          <t>MALÅ</t>
        </is>
      </c>
      <c r="I87" t="n">
        <v>8.9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45178</v>
      </c>
      <c r="E88" s="1" t="n">
        <v>46314</v>
      </c>
      <c r="F88" t="inlineStr">
        <is>
          <t>VÄSTERBOTTENS LÄN</t>
        </is>
      </c>
      <c r="G88" t="inlineStr">
        <is>
          <t>MALÅ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45155</v>
      </c>
      <c r="E89" s="1" t="n">
        <v>46314</v>
      </c>
      <c r="F89" t="inlineStr">
        <is>
          <t>VÄSTERBOTTENS LÄN</t>
        </is>
      </c>
      <c r="G89" t="inlineStr">
        <is>
          <t>MALÅ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37537-2023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45158</v>
      </c>
      <c r="E90" s="1" t="n">
        <v>46314</v>
      </c>
      <c r="F90" t="inlineStr">
        <is>
          <t>VÄSTERBOTTENS LÄN</t>
        </is>
      </c>
      <c r="G90" t="inlineStr">
        <is>
          <t>MALÅ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46314</v>
      </c>
      <c r="F91" t="inlineStr">
        <is>
          <t>VÄSTERBOTTENS LÄN</t>
        </is>
      </c>
      <c r="G91" t="inlineStr">
        <is>
          <t>MALÅ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41212-2025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46314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17.6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41559-2025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46314</v>
      </c>
      <c r="F93" t="inlineStr">
        <is>
          <t>VÄSTERBOTTENS LÄN</t>
        </is>
      </c>
      <c r="G93" t="inlineStr">
        <is>
          <t>MALÅ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45148</v>
      </c>
      <c r="E94" s="1" t="n">
        <v>46314</v>
      </c>
      <c r="F94" t="inlineStr">
        <is>
          <t>VÄSTERBOTTENS LÄN</t>
        </is>
      </c>
      <c r="G94" t="inlineStr">
        <is>
          <t>MALÅ</t>
        </is>
      </c>
      <c r="I94" t="n">
        <v>16.2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40943-2025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45897</v>
      </c>
      <c r="E95" s="1" t="n">
        <v>46314</v>
      </c>
      <c r="F95" t="inlineStr">
        <is>
          <t>VÄSTERBOTTENS LÄN</t>
        </is>
      </c>
      <c r="G95" t="inlineStr">
        <is>
          <t>MALÅ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41198-2025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45898</v>
      </c>
      <c r="E96" s="1" t="n">
        <v>46314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22.4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41191-2025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45898</v>
      </c>
      <c r="E97" s="1" t="n">
        <v>46314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59463-2025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45989</v>
      </c>
      <c r="E98" s="1" t="n">
        <v>46314</v>
      </c>
      <c r="F98" t="inlineStr">
        <is>
          <t>VÄSTERBOTTENS LÄN</t>
        </is>
      </c>
      <c r="G98" t="inlineStr">
        <is>
          <t>MALÅ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52795-2024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46314</v>
      </c>
      <c r="F99" t="inlineStr">
        <is>
          <t>VÄSTERBOTTENS LÄN</t>
        </is>
      </c>
      <c r="G99" t="inlineStr">
        <is>
          <t>MALÅ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39320-2023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45166</v>
      </c>
      <c r="E100" s="1" t="n">
        <v>46314</v>
      </c>
      <c r="F100" t="inlineStr">
        <is>
          <t>VÄSTERBOTTENS LÄN</t>
        </is>
      </c>
      <c r="G100" t="inlineStr">
        <is>
          <t>MALÅ</t>
        </is>
      </c>
      <c r="H100" t="inlineStr">
        <is>
          <t>Kyrkan</t>
        </is>
      </c>
      <c r="I100" t="n">
        <v>84.5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45714</v>
      </c>
      <c r="E101" s="1" t="n">
        <v>46314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18.7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54239-2022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46314</v>
      </c>
      <c r="F102" t="inlineStr">
        <is>
          <t>VÄSTERBOTTENS LÄN</t>
        </is>
      </c>
      <c r="G102" t="inlineStr">
        <is>
          <t>MALÅ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37172-2023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45154</v>
      </c>
      <c r="E103" s="1" t="n">
        <v>46314</v>
      </c>
      <c r="F103" t="inlineStr">
        <is>
          <t>VÄSTERBOTTENS LÄN</t>
        </is>
      </c>
      <c r="G103" t="inlineStr">
        <is>
          <t>MALÅ</t>
        </is>
      </c>
      <c r="I103" t="n">
        <v>73.7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42410-2023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46314</v>
      </c>
      <c r="F104" t="inlineStr">
        <is>
          <t>VÄSTERBOTTENS LÄN</t>
        </is>
      </c>
      <c r="G104" t="inlineStr">
        <is>
          <t>MALÅ</t>
        </is>
      </c>
      <c r="I104" t="n">
        <v>7.4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39246-2023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45166</v>
      </c>
      <c r="E105" s="1" t="n">
        <v>46314</v>
      </c>
      <c r="F105" t="inlineStr">
        <is>
          <t>VÄSTERBOTTENS LÄN</t>
        </is>
      </c>
      <c r="G105" t="inlineStr">
        <is>
          <t>MALÅ</t>
        </is>
      </c>
      <c r="H105" t="inlineStr">
        <is>
          <t>Sveaskog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46314</v>
      </c>
      <c r="F106" t="inlineStr">
        <is>
          <t>VÄSTERBOTTENS LÄN</t>
        </is>
      </c>
      <c r="G106" t="inlineStr">
        <is>
          <t>MALÅ</t>
        </is>
      </c>
      <c r="H106" t="inlineStr">
        <is>
          <t>Sveaskog</t>
        </is>
      </c>
      <c r="I106" t="n">
        <v>18.2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48322-2023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45201</v>
      </c>
      <c r="E107" s="1" t="n">
        <v>46314</v>
      </c>
      <c r="F107" t="inlineStr">
        <is>
          <t>VÄSTERBOTTENS LÄN</t>
        </is>
      </c>
      <c r="G107" t="inlineStr">
        <is>
          <t>MALÅ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48034-2025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45932</v>
      </c>
      <c r="E108" s="1" t="n">
        <v>46314</v>
      </c>
      <c r="F108" t="inlineStr">
        <is>
          <t>VÄSTERBOTTENS LÄN</t>
        </is>
      </c>
      <c r="G108" t="inlineStr">
        <is>
          <t>MALÅ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48058-2025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45932</v>
      </c>
      <c r="E109" s="1" t="n">
        <v>46314</v>
      </c>
      <c r="F109" t="inlineStr">
        <is>
          <t>VÄSTERBOTTENS LÄN</t>
        </is>
      </c>
      <c r="G109" t="inlineStr">
        <is>
          <t>MALÅ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45937</v>
      </c>
      <c r="E110" s="1" t="n">
        <v>46314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49657-2025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45939</v>
      </c>
      <c r="E111" s="1" t="n">
        <v>46314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15.3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49661-2025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45939</v>
      </c>
      <c r="E112" s="1" t="n">
        <v>46314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46314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48983-2025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46314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45937</v>
      </c>
      <c r="E115" s="1" t="n">
        <v>46314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55671-2023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45238</v>
      </c>
      <c r="E116" s="1" t="n">
        <v>46314</v>
      </c>
      <c r="F116" t="inlineStr">
        <is>
          <t>VÄSTERBOTTENS LÄN</t>
        </is>
      </c>
      <c r="G116" t="inlineStr">
        <is>
          <t>MALÅ</t>
        </is>
      </c>
      <c r="H116" t="inlineStr">
        <is>
          <t>SCA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46314</v>
      </c>
      <c r="F117" t="inlineStr">
        <is>
          <t>VÄSTERBOTTENS LÄN</t>
        </is>
      </c>
      <c r="G117" t="inlineStr">
        <is>
          <t>MALÅ</t>
        </is>
      </c>
      <c r="H117" t="inlineStr">
        <is>
          <t>Sveaskog</t>
        </is>
      </c>
      <c r="I117" t="n">
        <v>10.5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54463-2023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45232</v>
      </c>
      <c r="E118" s="1" t="n">
        <v>46314</v>
      </c>
      <c r="F118" t="inlineStr">
        <is>
          <t>VÄSTERBOTTENS LÄN</t>
        </is>
      </c>
      <c r="G118" t="inlineStr">
        <is>
          <t>MALÅ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45111</v>
      </c>
      <c r="E119" s="1" t="n">
        <v>46314</v>
      </c>
      <c r="F119" t="inlineStr">
        <is>
          <t>VÄSTERBOTTENS LÄN</t>
        </is>
      </c>
      <c r="G119" t="inlineStr">
        <is>
          <t>MALÅ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22308-2026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46154</v>
      </c>
      <c r="E120" s="1" t="n">
        <v>46314</v>
      </c>
      <c r="F120" t="inlineStr">
        <is>
          <t>VÄSTERBOTTENS LÄN</t>
        </is>
      </c>
      <c r="G120" t="inlineStr">
        <is>
          <t>MALÅ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51952-2025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45952</v>
      </c>
      <c r="E121" s="1" t="n">
        <v>46314</v>
      </c>
      <c r="F121" t="inlineStr">
        <is>
          <t>VÄSTERBOTTENS LÄN</t>
        </is>
      </c>
      <c r="G121" t="inlineStr">
        <is>
          <t>MALÅ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51963-2025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45952</v>
      </c>
      <c r="E122" s="1" t="n">
        <v>46314</v>
      </c>
      <c r="F122" t="inlineStr">
        <is>
          <t>VÄSTERBOTTENS LÄN</t>
        </is>
      </c>
      <c r="G122" t="inlineStr">
        <is>
          <t>MALÅ</t>
        </is>
      </c>
      <c r="H122" t="inlineStr">
        <is>
          <t>SCA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10121-2025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46314</v>
      </c>
      <c r="F123" t="inlineStr">
        <is>
          <t>VÄSTERBOTTENS LÄN</t>
        </is>
      </c>
      <c r="G123" t="inlineStr">
        <is>
          <t>MALÅ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51935-2025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45952</v>
      </c>
      <c r="E124" s="1" t="n">
        <v>46314</v>
      </c>
      <c r="F124" t="inlineStr">
        <is>
          <t>VÄSTERBOTTENS LÄN</t>
        </is>
      </c>
      <c r="G124" t="inlineStr">
        <is>
          <t>MALÅ</t>
        </is>
      </c>
      <c r="I124" t="n">
        <v>18.6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51936-2025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45952</v>
      </c>
      <c r="E125" s="1" t="n">
        <v>46314</v>
      </c>
      <c r="F125" t="inlineStr">
        <is>
          <t>VÄSTERBOTTENS LÄN</t>
        </is>
      </c>
      <c r="G125" t="inlineStr">
        <is>
          <t>MALÅ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51950-2025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45952</v>
      </c>
      <c r="E126" s="1" t="n">
        <v>46314</v>
      </c>
      <c r="F126" t="inlineStr">
        <is>
          <t>VÄSTERBOTTENS LÄN</t>
        </is>
      </c>
      <c r="G126" t="inlineStr">
        <is>
          <t>MALÅ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46314</v>
      </c>
      <c r="F127" t="inlineStr">
        <is>
          <t>VÄSTERBOTTENS LÄN</t>
        </is>
      </c>
      <c r="G127" t="inlineStr">
        <is>
          <t>MALÅ</t>
        </is>
      </c>
      <c r="H127" t="inlineStr">
        <is>
          <t>SCA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46314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46314</v>
      </c>
      <c r="F129" t="inlineStr">
        <is>
          <t>VÄSTERBOTTENS LÄN</t>
        </is>
      </c>
      <c r="G129" t="inlineStr">
        <is>
          <t>MALÅ</t>
        </is>
      </c>
      <c r="I129" t="n">
        <v>9.300000000000001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45176</v>
      </c>
      <c r="E130" s="1" t="n">
        <v>46314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53595-2025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45960</v>
      </c>
      <c r="E131" s="1" t="n">
        <v>46314</v>
      </c>
      <c r="F131" t="inlineStr">
        <is>
          <t>VÄSTERBOTTENS LÄN</t>
        </is>
      </c>
      <c r="G131" t="inlineStr">
        <is>
          <t>MALÅ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54064-2025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45964</v>
      </c>
      <c r="E132" s="1" t="n">
        <v>46314</v>
      </c>
      <c r="F132" t="inlineStr">
        <is>
          <t>VÄSTERBOTTENS LÄN</t>
        </is>
      </c>
      <c r="G132" t="inlineStr">
        <is>
          <t>MALÅ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54628-2025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45966</v>
      </c>
      <c r="E133" s="1" t="n">
        <v>46314</v>
      </c>
      <c r="F133" t="inlineStr">
        <is>
          <t>VÄSTERBOTTENS LÄN</t>
        </is>
      </c>
      <c r="G133" t="inlineStr">
        <is>
          <t>MALÅ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36144-2023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45149</v>
      </c>
      <c r="E134" s="1" t="n">
        <v>46314</v>
      </c>
      <c r="F134" t="inlineStr">
        <is>
          <t>VÄSTERBOTTENS LÄN</t>
        </is>
      </c>
      <c r="G134" t="inlineStr">
        <is>
          <t>MALÅ</t>
        </is>
      </c>
      <c r="I134" t="n">
        <v>147.1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46314</v>
      </c>
      <c r="F135" t="inlineStr">
        <is>
          <t>VÄSTERBOTTENS LÄN</t>
        </is>
      </c>
      <c r="G135" t="inlineStr">
        <is>
          <t>MALÅ</t>
        </is>
      </c>
      <c r="H135" t="inlineStr">
        <is>
          <t>Sveaskog</t>
        </is>
      </c>
      <c r="I135" t="n">
        <v>11.9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45101-2023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45190</v>
      </c>
      <c r="E136" s="1" t="n">
        <v>46314</v>
      </c>
      <c r="F136" t="inlineStr">
        <is>
          <t>VÄSTERBOTTENS LÄN</t>
        </is>
      </c>
      <c r="G136" t="inlineStr">
        <is>
          <t>MALÅ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45966</v>
      </c>
      <c r="E137" s="1" t="n">
        <v>46314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54463-2025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45964</v>
      </c>
      <c r="E138" s="1" t="n">
        <v>46314</v>
      </c>
      <c r="F138" t="inlineStr">
        <is>
          <t>VÄSTERBOTTENS LÄN</t>
        </is>
      </c>
      <c r="G138" t="inlineStr">
        <is>
          <t>MALÅ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54455-2025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45964</v>
      </c>
      <c r="E139" s="1" t="n">
        <v>46314</v>
      </c>
      <c r="F139" t="inlineStr">
        <is>
          <t>VÄSTERBOTTENS LÄN</t>
        </is>
      </c>
      <c r="G139" t="inlineStr">
        <is>
          <t>MALÅ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56102-2025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45973</v>
      </c>
      <c r="E140" s="1" t="n">
        <v>46314</v>
      </c>
      <c r="F140" t="inlineStr">
        <is>
          <t>VÄSTERBOTTENS LÄN</t>
        </is>
      </c>
      <c r="G140" t="inlineStr">
        <is>
          <t>MALÅ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36743-2023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45153</v>
      </c>
      <c r="E141" s="1" t="n">
        <v>46314</v>
      </c>
      <c r="F141" t="inlineStr">
        <is>
          <t>VÄSTERBOTTENS LÄN</t>
        </is>
      </c>
      <c r="G141" t="inlineStr">
        <is>
          <t>MALÅ</t>
        </is>
      </c>
      <c r="I141" t="n">
        <v>15.7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36744-2023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45153</v>
      </c>
      <c r="E142" s="1" t="n">
        <v>46314</v>
      </c>
      <c r="F142" t="inlineStr">
        <is>
          <t>VÄSTERBOTTENS LÄN</t>
        </is>
      </c>
      <c r="G142" t="inlineStr">
        <is>
          <t>MALÅ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62284-2023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45267</v>
      </c>
      <c r="E143" s="1" t="n">
        <v>46314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41672-2025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45902</v>
      </c>
      <c r="E144" s="1" t="n">
        <v>46314</v>
      </c>
      <c r="F144" t="inlineStr">
        <is>
          <t>VÄSTERBOTTENS LÄN</t>
        </is>
      </c>
      <c r="G144" t="inlineStr">
        <is>
          <t>MALÅ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39790-2023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45167</v>
      </c>
      <c r="E145" s="1" t="n">
        <v>46314</v>
      </c>
      <c r="F145" t="inlineStr">
        <is>
          <t>VÄSTERBOTTENS LÄN</t>
        </is>
      </c>
      <c r="G145" t="inlineStr">
        <is>
          <t>MALÅ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45229</v>
      </c>
      <c r="E146" s="1" t="n">
        <v>46314</v>
      </c>
      <c r="F146" t="inlineStr">
        <is>
          <t>VÄSTERBOTTENS LÄN</t>
        </is>
      </c>
      <c r="G146" t="inlineStr">
        <is>
          <t>MALÅ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62124-2024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46314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46314</v>
      </c>
      <c r="F148" t="inlineStr">
        <is>
          <t>VÄSTERBOTTENS LÄN</t>
        </is>
      </c>
      <c r="G148" t="inlineStr">
        <is>
          <t>MALÅ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45201</v>
      </c>
      <c r="E149" s="1" t="n">
        <v>46314</v>
      </c>
      <c r="F149" t="inlineStr">
        <is>
          <t>VÄSTERBOTTENS LÄN</t>
        </is>
      </c>
      <c r="G149" t="inlineStr">
        <is>
          <t>MALÅ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56094-2025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46314</v>
      </c>
      <c r="F150" t="inlineStr">
        <is>
          <t>VÄSTERBOTTENS LÄN</t>
        </is>
      </c>
      <c r="G150" t="inlineStr">
        <is>
          <t>MALÅ</t>
        </is>
      </c>
      <c r="I150" t="n">
        <v>20.7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45167</v>
      </c>
      <c r="E151" s="1" t="n">
        <v>46314</v>
      </c>
      <c r="F151" t="inlineStr">
        <is>
          <t>VÄSTERBOTTENS LÄN</t>
        </is>
      </c>
      <c r="G151" t="inlineStr">
        <is>
          <t>MALÅ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61947-2024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46314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40019-2023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45167</v>
      </c>
      <c r="E153" s="1" t="n">
        <v>46314</v>
      </c>
      <c r="F153" t="inlineStr">
        <is>
          <t>VÄSTERBOTTENS LÄN</t>
        </is>
      </c>
      <c r="G153" t="inlineStr">
        <is>
          <t>MALÅ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46314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46314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59440-2025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45989</v>
      </c>
      <c r="E156" s="1" t="n">
        <v>46314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45989</v>
      </c>
      <c r="E157" s="1" t="n">
        <v>46314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46314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1947-2022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44575</v>
      </c>
      <c r="E159" s="1" t="n">
        <v>46314</v>
      </c>
      <c r="F159" t="inlineStr">
        <is>
          <t>VÄSTERBOTTENS LÄN</t>
        </is>
      </c>
      <c r="G159" t="inlineStr">
        <is>
          <t>MALÅ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41567-2023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45175</v>
      </c>
      <c r="E160" s="1" t="n">
        <v>46314</v>
      </c>
      <c r="F160" t="inlineStr">
        <is>
          <t>VÄSTERBOTTENS LÄN</t>
        </is>
      </c>
      <c r="G160" t="inlineStr">
        <is>
          <t>MALÅ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46377-2023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45193</v>
      </c>
      <c r="E161" s="1" t="n">
        <v>46314</v>
      </c>
      <c r="F161" t="inlineStr">
        <is>
          <t>VÄSTERBOTTENS LÄN</t>
        </is>
      </c>
      <c r="G161" t="inlineStr">
        <is>
          <t>MALÅ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46393-2023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45193</v>
      </c>
      <c r="E162" s="1" t="n">
        <v>46314</v>
      </c>
      <c r="F162" t="inlineStr">
        <is>
          <t>VÄSTERBOTTENS LÄN</t>
        </is>
      </c>
      <c r="G162" t="inlineStr">
        <is>
          <t>MALÅ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12857-2024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45384</v>
      </c>
      <c r="E163" s="1" t="n">
        <v>46314</v>
      </c>
      <c r="F163" t="inlineStr">
        <is>
          <t>VÄSTERBOTTENS LÄN</t>
        </is>
      </c>
      <c r="G163" t="inlineStr">
        <is>
          <t>MALÅ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45504</v>
      </c>
      <c r="E164" s="1" t="n">
        <v>46314</v>
      </c>
      <c r="F164" t="inlineStr">
        <is>
          <t>VÄSTERBOTTENS LÄN</t>
        </is>
      </c>
      <c r="G164" t="inlineStr">
        <is>
          <t>MALÅ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45999</v>
      </c>
      <c r="E165" s="1" t="n">
        <v>46314</v>
      </c>
      <c r="F165" t="inlineStr">
        <is>
          <t>VÄSTERBOTTENS LÄN</t>
        </is>
      </c>
      <c r="G165" t="inlineStr">
        <is>
          <t>MALÅ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49226-2024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45595</v>
      </c>
      <c r="E166" s="1" t="n">
        <v>46314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61480-2025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46314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12.7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61785-2025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46314</v>
      </c>
      <c r="F168" t="inlineStr">
        <is>
          <t>VÄSTERBOTTENS LÄN</t>
        </is>
      </c>
      <c r="G168" t="inlineStr">
        <is>
          <t>MALÅ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61844-2025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46003</v>
      </c>
      <c r="E169" s="1" t="n">
        <v>46314</v>
      </c>
      <c r="F169" t="inlineStr">
        <is>
          <t>VÄSTERBOTTENS LÄN</t>
        </is>
      </c>
      <c r="G169" t="inlineStr">
        <is>
          <t>MALÅ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45148</v>
      </c>
      <c r="E170" s="1" t="n">
        <v>46314</v>
      </c>
      <c r="F170" t="inlineStr">
        <is>
          <t>VÄSTERBOTTENS LÄN</t>
        </is>
      </c>
      <c r="G170" t="inlineStr">
        <is>
          <t>MALÅ</t>
        </is>
      </c>
      <c r="I170" t="n">
        <v>26.3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11824-2023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44994</v>
      </c>
      <c r="E171" s="1" t="n">
        <v>46314</v>
      </c>
      <c r="F171" t="inlineStr">
        <is>
          <t>VÄSTERBOTTENS LÄN</t>
        </is>
      </c>
      <c r="G171" t="inlineStr">
        <is>
          <t>MALÅ</t>
        </is>
      </c>
      <c r="I171" t="n">
        <v>7.7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12797-2023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45000</v>
      </c>
      <c r="E172" s="1" t="n">
        <v>46314</v>
      </c>
      <c r="F172" t="inlineStr">
        <is>
          <t>VÄSTERBOTTENS LÄN</t>
        </is>
      </c>
      <c r="G172" t="inlineStr">
        <is>
          <t>MALÅ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46314</v>
      </c>
      <c r="F173" t="inlineStr">
        <is>
          <t>VÄSTERBOTTENS LÄN</t>
        </is>
      </c>
      <c r="G173" t="inlineStr">
        <is>
          <t>MALÅ</t>
        </is>
      </c>
      <c r="H173" t="inlineStr">
        <is>
          <t>SCA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51308-2023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46314</v>
      </c>
      <c r="F174" t="inlineStr">
        <is>
          <t>VÄSTERBOTTENS LÄN</t>
        </is>
      </c>
      <c r="G174" t="inlineStr">
        <is>
          <t>MALÅ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45660</v>
      </c>
      <c r="E175" s="1" t="n">
        <v>46314</v>
      </c>
      <c r="F175" t="inlineStr">
        <is>
          <t>VÄSTERBOTTENS LÄN</t>
        </is>
      </c>
      <c r="G175" t="inlineStr">
        <is>
          <t>MALÅ</t>
        </is>
      </c>
      <c r="I175" t="n">
        <v>8.9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45156</v>
      </c>
      <c r="E176" s="1" t="n">
        <v>46314</v>
      </c>
      <c r="F176" t="inlineStr">
        <is>
          <t>VÄSTERBOTTENS LÄN</t>
        </is>
      </c>
      <c r="G176" t="inlineStr">
        <is>
          <t>MALÅ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45222</v>
      </c>
      <c r="E177" s="1" t="n">
        <v>46314</v>
      </c>
      <c r="F177" t="inlineStr">
        <is>
          <t>VÄSTERBOTTENS LÄN</t>
        </is>
      </c>
      <c r="G177" t="inlineStr">
        <is>
          <t>MALÅ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39148-2023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46314</v>
      </c>
      <c r="F178" t="inlineStr">
        <is>
          <t>VÄSTERBOTTENS LÄN</t>
        </is>
      </c>
      <c r="G178" t="inlineStr">
        <is>
          <t>MALÅ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40370-2023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45168</v>
      </c>
      <c r="E179" s="1" t="n">
        <v>46314</v>
      </c>
      <c r="F179" t="inlineStr">
        <is>
          <t>VÄSTERBOTTENS LÄN</t>
        </is>
      </c>
      <c r="G179" t="inlineStr">
        <is>
          <t>MALÅ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42988-2023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45182</v>
      </c>
      <c r="E180" s="1" t="n">
        <v>46314</v>
      </c>
      <c r="F180" t="inlineStr">
        <is>
          <t>VÄSTERBOTTENS LÄN</t>
        </is>
      </c>
      <c r="G180" t="inlineStr">
        <is>
          <t>MALÅ</t>
        </is>
      </c>
      <c r="I180" t="n">
        <v>10.5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2116-2023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44939</v>
      </c>
      <c r="E181" s="1" t="n">
        <v>46314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44911</v>
      </c>
      <c r="E182" s="1" t="n">
        <v>46314</v>
      </c>
      <c r="F182" t="inlineStr">
        <is>
          <t>VÄSTERBOTTENS LÄN</t>
        </is>
      </c>
      <c r="G182" t="inlineStr">
        <is>
          <t>MALÅ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37462-2024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46314</v>
      </c>
      <c r="F183" t="inlineStr">
        <is>
          <t>VÄSTERBOTTENS LÄN</t>
        </is>
      </c>
      <c r="G183" t="inlineStr">
        <is>
          <t>MALÅ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51357-2023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46314</v>
      </c>
      <c r="F184" t="inlineStr">
        <is>
          <t>VÄSTERBOTTENS LÄN</t>
        </is>
      </c>
      <c r="G184" t="inlineStr">
        <is>
          <t>MALÅ</t>
        </is>
      </c>
      <c r="H184" t="inlineStr">
        <is>
          <t>Sveaskog</t>
        </is>
      </c>
      <c r="I184" t="n">
        <v>10.8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46027</v>
      </c>
      <c r="E185" s="1" t="n">
        <v>46314</v>
      </c>
      <c r="F185" t="inlineStr">
        <is>
          <t>VÄSTERBOTTENS LÄN</t>
        </is>
      </c>
      <c r="G185" t="inlineStr">
        <is>
          <t>MALÅ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46027</v>
      </c>
      <c r="E186" s="1" t="n">
        <v>46314</v>
      </c>
      <c r="F186" t="inlineStr">
        <is>
          <t>VÄSTERBOTTENS LÄN</t>
        </is>
      </c>
      <c r="G186" t="inlineStr">
        <is>
          <t>MALÅ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45193</v>
      </c>
      <c r="E187" s="1" t="n">
        <v>46314</v>
      </c>
      <c r="F187" t="inlineStr">
        <is>
          <t>VÄSTERBOTTENS LÄN</t>
        </is>
      </c>
      <c r="G187" t="inlineStr">
        <is>
          <t>MALÅ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46314</v>
      </c>
      <c r="F188" t="inlineStr">
        <is>
          <t>VÄSTERBOTTENS LÄN</t>
        </is>
      </c>
      <c r="G188" t="inlineStr">
        <is>
          <t>MALÅ</t>
        </is>
      </c>
      <c r="I188" t="n">
        <v>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46031</v>
      </c>
      <c r="E189" s="1" t="n">
        <v>46314</v>
      </c>
      <c r="F189" t="inlineStr">
        <is>
          <t>VÄSTERBOTTENS LÄN</t>
        </is>
      </c>
      <c r="G189" t="inlineStr">
        <is>
          <t>MALÅ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67679-2021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44524</v>
      </c>
      <c r="E190" s="1" t="n">
        <v>46314</v>
      </c>
      <c r="F190" t="inlineStr">
        <is>
          <t>VÄSTERBOTTENS LÄN</t>
        </is>
      </c>
      <c r="G190" t="inlineStr">
        <is>
          <t>MALÅ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46031</v>
      </c>
      <c r="E191" s="1" t="n">
        <v>46314</v>
      </c>
      <c r="F191" t="inlineStr">
        <is>
          <t>VÄSTERBOTTENS LÄN</t>
        </is>
      </c>
      <c r="G191" t="inlineStr">
        <is>
          <t>MALÅ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46314</v>
      </c>
      <c r="F192" t="inlineStr">
        <is>
          <t>VÄSTERBOTTENS LÄN</t>
        </is>
      </c>
      <c r="G192" t="inlineStr">
        <is>
          <t>MALÅ</t>
        </is>
      </c>
      <c r="I192" t="n">
        <v>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46035</v>
      </c>
      <c r="E193" s="1" t="n">
        <v>46314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36745-2023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45153</v>
      </c>
      <c r="E194" s="1" t="n">
        <v>46314</v>
      </c>
      <c r="F194" t="inlineStr">
        <is>
          <t>VÄSTERBOTTENS LÄN</t>
        </is>
      </c>
      <c r="G194" t="inlineStr">
        <is>
          <t>MALÅ</t>
        </is>
      </c>
      <c r="I194" t="n">
        <v>5.2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45541</v>
      </c>
      <c r="E195" s="1" t="n">
        <v>46314</v>
      </c>
      <c r="F195" t="inlineStr">
        <is>
          <t>VÄSTERBOTTENS LÄN</t>
        </is>
      </c>
      <c r="G195" t="inlineStr">
        <is>
          <t>MALÅ</t>
        </is>
      </c>
      <c r="I195" t="n">
        <v>13.3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3471-2026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46042</v>
      </c>
      <c r="E196" s="1" t="n">
        <v>46314</v>
      </c>
      <c r="F196" t="inlineStr">
        <is>
          <t>VÄSTERBOTTENS LÄN</t>
        </is>
      </c>
      <c r="G196" t="inlineStr">
        <is>
          <t>MALÅ</t>
        </is>
      </c>
      <c r="H196" t="inlineStr">
        <is>
          <t>Sveaskog</t>
        </is>
      </c>
      <c r="I196" t="n">
        <v>7.5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45189</v>
      </c>
      <c r="E197" s="1" t="n">
        <v>46314</v>
      </c>
      <c r="F197" t="inlineStr">
        <is>
          <t>VÄSTERBOTTENS LÄN</t>
        </is>
      </c>
      <c r="G197" t="inlineStr">
        <is>
          <t>MALÅ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45694</v>
      </c>
      <c r="E198" s="1" t="n">
        <v>46314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14461-2025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46314</v>
      </c>
      <c r="F199" t="inlineStr">
        <is>
          <t>VÄSTERBOTTENS LÄN</t>
        </is>
      </c>
      <c r="G199" t="inlineStr">
        <is>
          <t>MALÅ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36124-2023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46314</v>
      </c>
      <c r="F200" t="inlineStr">
        <is>
          <t>VÄSTERBOTTENS LÄN</t>
        </is>
      </c>
      <c r="G200" t="inlineStr">
        <is>
          <t>MALÅ</t>
        </is>
      </c>
      <c r="I200" t="n">
        <v>26.9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45203</v>
      </c>
      <c r="E201" s="1" t="n">
        <v>46314</v>
      </c>
      <c r="F201" t="inlineStr">
        <is>
          <t>VÄSTERBOTTENS LÄN</t>
        </is>
      </c>
      <c r="G201" t="inlineStr">
        <is>
          <t>MALÅ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46314</v>
      </c>
      <c r="F202" t="inlineStr">
        <is>
          <t>VÄSTERBOTTENS LÄN</t>
        </is>
      </c>
      <c r="G202" t="inlineStr">
        <is>
          <t>MALÅ</t>
        </is>
      </c>
      <c r="I202" t="n">
        <v>48.2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37181-2023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45154</v>
      </c>
      <c r="E203" s="1" t="n">
        <v>46314</v>
      </c>
      <c r="F203" t="inlineStr">
        <is>
          <t>VÄSTERBOTTENS LÄN</t>
        </is>
      </c>
      <c r="G203" t="inlineStr">
        <is>
          <t>MALÅ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46314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61990-2024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45646</v>
      </c>
      <c r="E205" s="1" t="n">
        <v>46314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32772-2024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45516</v>
      </c>
      <c r="E206" s="1" t="n">
        <v>46314</v>
      </c>
      <c r="F206" t="inlineStr">
        <is>
          <t>VÄSTERBOTTENS LÄN</t>
        </is>
      </c>
      <c r="G206" t="inlineStr">
        <is>
          <t>MALÅ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8757-2026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46314</v>
      </c>
      <c r="F207" t="inlineStr">
        <is>
          <t>VÄSTERBOTTENS LÄN</t>
        </is>
      </c>
      <c r="G207" t="inlineStr">
        <is>
          <t>MALÅ</t>
        </is>
      </c>
      <c r="H207" t="inlineStr">
        <is>
          <t>SCA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8648-2026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46066</v>
      </c>
      <c r="E208" s="1" t="n">
        <v>46314</v>
      </c>
      <c r="F208" t="inlineStr">
        <is>
          <t>VÄSTERBOTTENS LÄN</t>
        </is>
      </c>
      <c r="G208" t="inlineStr">
        <is>
          <t>MALÅ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46070</v>
      </c>
      <c r="E209" s="1" t="n">
        <v>46314</v>
      </c>
      <c r="F209" t="inlineStr">
        <is>
          <t>VÄSTERBOTTENS LÄN</t>
        </is>
      </c>
      <c r="G209" t="inlineStr">
        <is>
          <t>MALÅ</t>
        </is>
      </c>
      <c r="I209" t="n">
        <v>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9748-2026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46072</v>
      </c>
      <c r="E210" s="1" t="n">
        <v>46314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44641</v>
      </c>
      <c r="E211" s="1" t="n">
        <v>46314</v>
      </c>
      <c r="F211" t="inlineStr">
        <is>
          <t>VÄSTERBOTTENS LÄN</t>
        </is>
      </c>
      <c r="G211" t="inlineStr">
        <is>
          <t>MALÅ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26998-2026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46185</v>
      </c>
      <c r="E212" s="1" t="n">
        <v>46314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11.5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38999-2023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46314</v>
      </c>
      <c r="F213" t="inlineStr">
        <is>
          <t>VÄSTERBOTTENS LÄN</t>
        </is>
      </c>
      <c r="G213" t="inlineStr">
        <is>
          <t>MALÅ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38312-2023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46314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63.6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46314</v>
      </c>
      <c r="F215" t="inlineStr">
        <is>
          <t>VÄSTERBOTTENS LÄN</t>
        </is>
      </c>
      <c r="G215" t="inlineStr">
        <is>
          <t>MALÅ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46314</v>
      </c>
      <c r="F216" t="inlineStr">
        <is>
          <t>VÄSTERBOTTENS LÄN</t>
        </is>
      </c>
      <c r="G216" t="inlineStr">
        <is>
          <t>MALÅ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48224-2024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45590</v>
      </c>
      <c r="E217" s="1" t="n">
        <v>46314</v>
      </c>
      <c r="F217" t="inlineStr">
        <is>
          <t>VÄSTERBOTTENS LÄN</t>
        </is>
      </c>
      <c r="G217" t="inlineStr">
        <is>
          <t>MALÅ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46189</v>
      </c>
      <c r="E218" s="1" t="n">
        <v>46314</v>
      </c>
      <c r="F218" t="inlineStr">
        <is>
          <t>VÄSTERBOTTENS LÄN</t>
        </is>
      </c>
      <c r="G218" t="inlineStr">
        <is>
          <t>MALÅ</t>
        </is>
      </c>
      <c r="H218" t="inlineStr">
        <is>
          <t>Sveaskog</t>
        </is>
      </c>
      <c r="I218" t="n">
        <v>9.9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27490-2026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46189</v>
      </c>
      <c r="E219" s="1" t="n">
        <v>46314</v>
      </c>
      <c r="F219" t="inlineStr">
        <is>
          <t>VÄSTERBOTTENS LÄN</t>
        </is>
      </c>
      <c r="G219" t="inlineStr">
        <is>
          <t>MALÅ</t>
        </is>
      </c>
      <c r="H219" t="inlineStr">
        <is>
          <t>Sveaskog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61609-2024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45645</v>
      </c>
      <c r="E220" s="1" t="n">
        <v>46314</v>
      </c>
      <c r="F220" t="inlineStr">
        <is>
          <t>VÄSTERBOTTENS LÄN</t>
        </is>
      </c>
      <c r="G220" t="inlineStr">
        <is>
          <t>MALÅ</t>
        </is>
      </c>
      <c r="H220" t="inlineStr">
        <is>
          <t>Sveaskog</t>
        </is>
      </c>
      <c r="I220" t="n">
        <v>11.2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46314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46189</v>
      </c>
      <c r="E222" s="1" t="n">
        <v>46314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23.5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27487-2026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46189</v>
      </c>
      <c r="E223" s="1" t="n">
        <v>46314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10.1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27474-2026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46189</v>
      </c>
      <c r="E224" s="1" t="n">
        <v>46314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5.9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46189</v>
      </c>
      <c r="E225" s="1" t="n">
        <v>46314</v>
      </c>
      <c r="F225" t="inlineStr">
        <is>
          <t>VÄSTERBOTTENS LÄN</t>
        </is>
      </c>
      <c r="G225" t="inlineStr">
        <is>
          <t>MALÅ</t>
        </is>
      </c>
      <c r="H225" t="inlineStr">
        <is>
          <t>Sveaskog</t>
        </is>
      </c>
      <c r="I225" t="n">
        <v>11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13773-2026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46097</v>
      </c>
      <c r="E226" s="1" t="n">
        <v>46314</v>
      </c>
      <c r="F226" t="inlineStr">
        <is>
          <t>VÄSTERBOTTENS LÄN</t>
        </is>
      </c>
      <c r="G226" t="inlineStr">
        <is>
          <t>MALÅ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13775-2026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46097</v>
      </c>
      <c r="E227" s="1" t="n">
        <v>46314</v>
      </c>
      <c r="F227" t="inlineStr">
        <is>
          <t>VÄSTERBOTTENS LÄN</t>
        </is>
      </c>
      <c r="G227" t="inlineStr">
        <is>
          <t>MALÅ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29024-2026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46196</v>
      </c>
      <c r="E228" s="1" t="n">
        <v>46314</v>
      </c>
      <c r="F228" t="inlineStr">
        <is>
          <t>VÄSTERBOTTENS LÄN</t>
        </is>
      </c>
      <c r="G228" t="inlineStr">
        <is>
          <t>MALÅ</t>
        </is>
      </c>
      <c r="I228" t="n">
        <v>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34413-2023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45139</v>
      </c>
      <c r="E229" s="1" t="n">
        <v>46314</v>
      </c>
      <c r="F229" t="inlineStr">
        <is>
          <t>VÄSTERBOTTENS LÄN</t>
        </is>
      </c>
      <c r="G229" t="inlineStr">
        <is>
          <t>MALÅ</t>
        </is>
      </c>
      <c r="H229" t="inlineStr">
        <is>
          <t>Sveaskog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46359-2023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45193</v>
      </c>
      <c r="E230" s="1" t="n">
        <v>46314</v>
      </c>
      <c r="F230" t="inlineStr">
        <is>
          <t>VÄSTERBOTTENS LÄN</t>
        </is>
      </c>
      <c r="G230" t="inlineStr">
        <is>
          <t>MALÅ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29025-2026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46196</v>
      </c>
      <c r="E231" s="1" t="n">
        <v>46314</v>
      </c>
      <c r="F231" t="inlineStr">
        <is>
          <t>VÄSTERBOTTENS LÄN</t>
        </is>
      </c>
      <c r="G231" t="inlineStr">
        <is>
          <t>MALÅ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50504-2024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45601</v>
      </c>
      <c r="E232" s="1" t="n">
        <v>46314</v>
      </c>
      <c r="F232" t="inlineStr">
        <is>
          <t>VÄSTERBOTTENS LÄN</t>
        </is>
      </c>
      <c r="G232" t="inlineStr">
        <is>
          <t>MALÅ</t>
        </is>
      </c>
      <c r="H232" t="inlineStr">
        <is>
          <t>SCA</t>
        </is>
      </c>
      <c r="I232" t="n">
        <v>25.9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15286-2026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46105</v>
      </c>
      <c r="E233" s="1" t="n">
        <v>46314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9.1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15306-2026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46314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19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37183-2023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45154</v>
      </c>
      <c r="E235" s="1" t="n">
        <v>46314</v>
      </c>
      <c r="F235" t="inlineStr">
        <is>
          <t>VÄSTERBOTTENS LÄN</t>
        </is>
      </c>
      <c r="G235" t="inlineStr">
        <is>
          <t>MALÅ</t>
        </is>
      </c>
      <c r="I235" t="n">
        <v>41.2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17020-2026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46114</v>
      </c>
      <c r="E236" s="1" t="n">
        <v>46314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19.7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28803-2026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46314</v>
      </c>
      <c r="F237" t="inlineStr">
        <is>
          <t>VÄSTERBOTTENS LÄN</t>
        </is>
      </c>
      <c r="G237" t="inlineStr">
        <is>
          <t>MALÅ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45667</v>
      </c>
      <c r="E238" s="1" t="n">
        <v>46314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13.1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62257-2023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45267</v>
      </c>
      <c r="E239" s="1" t="n">
        <v>46314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44626-2023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46314</v>
      </c>
      <c r="F240" t="inlineStr">
        <is>
          <t>VÄSTERBOTTENS LÄN</t>
        </is>
      </c>
      <c r="G240" t="inlineStr">
        <is>
          <t>MALÅ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19351-2026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46314</v>
      </c>
      <c r="F241" t="inlineStr">
        <is>
          <t>VÄSTERBOTTENS LÄN</t>
        </is>
      </c>
      <c r="G241" t="inlineStr">
        <is>
          <t>MALÅ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46314</v>
      </c>
      <c r="F242" t="inlineStr">
        <is>
          <t>VÄSTERBOTTENS LÄN</t>
        </is>
      </c>
      <c r="G242" t="inlineStr">
        <is>
          <t>MALÅ</t>
        </is>
      </c>
      <c r="H242" t="inlineStr">
        <is>
          <t>Sveaskog</t>
        </is>
      </c>
      <c r="I242" t="n">
        <v>55.9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45160</v>
      </c>
      <c r="E243" s="1" t="n">
        <v>46314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21.8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19290-2026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46314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45625</v>
      </c>
      <c r="E245" s="1" t="n">
        <v>46314</v>
      </c>
      <c r="F245" t="inlineStr">
        <is>
          <t>VÄSTERBOTTENS LÄN</t>
        </is>
      </c>
      <c r="G245" t="inlineStr">
        <is>
          <t>MALÅ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19349-2026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46133</v>
      </c>
      <c r="E246" s="1" t="n">
        <v>46314</v>
      </c>
      <c r="F246" t="inlineStr">
        <is>
          <t>VÄSTERBOTTENS LÄN</t>
        </is>
      </c>
      <c r="G246" t="inlineStr">
        <is>
          <t>MALÅ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11299-2025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45726</v>
      </c>
      <c r="E247" s="1" t="n">
        <v>46314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37.2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36425-2023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45152</v>
      </c>
      <c r="E248" s="1" t="n">
        <v>46314</v>
      </c>
      <c r="F248" t="inlineStr">
        <is>
          <t>VÄSTERBOTTENS LÄN</t>
        </is>
      </c>
      <c r="G248" t="inlineStr">
        <is>
          <t>MALÅ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46314</v>
      </c>
      <c r="F249" t="inlineStr">
        <is>
          <t>VÄSTERBOTTENS LÄN</t>
        </is>
      </c>
      <c r="G249" t="inlineStr">
        <is>
          <t>MALÅ</t>
        </is>
      </c>
      <c r="I249" t="n">
        <v>63.5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48327-2023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45201</v>
      </c>
      <c r="E250" s="1" t="n">
        <v>46314</v>
      </c>
      <c r="F250" t="inlineStr">
        <is>
          <t>VÄSTERBOTTENS LÄN</t>
        </is>
      </c>
      <c r="G250" t="inlineStr">
        <is>
          <t>MALÅ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30502-2026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46210</v>
      </c>
      <c r="E251" s="1" t="n">
        <v>46314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37897-2023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45159</v>
      </c>
      <c r="E252" s="1" t="n">
        <v>46314</v>
      </c>
      <c r="F252" t="inlineStr">
        <is>
          <t>VÄSTERBOTTENS LÄN</t>
        </is>
      </c>
      <c r="G252" t="inlineStr">
        <is>
          <t>MALÅ</t>
        </is>
      </c>
      <c r="I252" t="n">
        <v>30.4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40618-2023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46314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23.4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46314</v>
      </c>
      <c r="F254" t="inlineStr">
        <is>
          <t>VÄSTERBOTTENS LÄN</t>
        </is>
      </c>
      <c r="G254" t="inlineStr">
        <is>
          <t>MALÅ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60616-2024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45642</v>
      </c>
      <c r="E255" s="1" t="n">
        <v>46314</v>
      </c>
      <c r="F255" t="inlineStr">
        <is>
          <t>VÄSTERBOTTENS LÄN</t>
        </is>
      </c>
      <c r="G255" t="inlineStr">
        <is>
          <t>MALÅ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46314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55507-2024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45622</v>
      </c>
      <c r="E257" s="1" t="n">
        <v>46314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12.5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46223</v>
      </c>
      <c r="E258" s="1" t="n">
        <v>46314</v>
      </c>
      <c r="F258" t="inlineStr">
        <is>
          <t>VÄSTERBOTTENS LÄN</t>
        </is>
      </c>
      <c r="G258" t="inlineStr">
        <is>
          <t>MALÅ</t>
        </is>
      </c>
      <c r="H258" t="inlineStr">
        <is>
          <t>SCA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31535-2026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46223</v>
      </c>
      <c r="E259" s="1" t="n">
        <v>46314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60591-2024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46314</v>
      </c>
      <c r="F260" t="inlineStr">
        <is>
          <t>VÄSTERBOTTENS LÄN</t>
        </is>
      </c>
      <c r="G260" t="inlineStr">
        <is>
          <t>MALÅ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37922-2023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45159</v>
      </c>
      <c r="E261" s="1" t="n">
        <v>46314</v>
      </c>
      <c r="F261" t="inlineStr">
        <is>
          <t>VÄSTERBOTTENS LÄN</t>
        </is>
      </c>
      <c r="G261" t="inlineStr">
        <is>
          <t>MALÅ</t>
        </is>
      </c>
      <c r="I261" t="n">
        <v>9.699999999999999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26853-2026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46185</v>
      </c>
      <c r="E262" s="1" t="n">
        <v>46314</v>
      </c>
      <c r="F262" t="inlineStr">
        <is>
          <t>VÄSTERBOTTENS LÄN</t>
        </is>
      </c>
      <c r="G262" t="inlineStr">
        <is>
          <t>MALÅ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59866-2021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44491</v>
      </c>
      <c r="E263" s="1" t="n">
        <v>46314</v>
      </c>
      <c r="F263" t="inlineStr">
        <is>
          <t>VÄSTERBOTTENS LÄN</t>
        </is>
      </c>
      <c r="G263" t="inlineStr">
        <is>
          <t>MALÅ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45601</v>
      </c>
      <c r="E264" s="1" t="n">
        <v>46314</v>
      </c>
      <c r="F264" t="inlineStr">
        <is>
          <t>VÄSTERBOTTENS LÄN</t>
        </is>
      </c>
      <c r="G264" t="inlineStr">
        <is>
          <t>MALÅ</t>
        </is>
      </c>
      <c r="H264" t="inlineStr">
        <is>
          <t>SCA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31987-2026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46232</v>
      </c>
      <c r="E265" s="1" t="n">
        <v>46314</v>
      </c>
      <c r="F265" t="inlineStr">
        <is>
          <t>VÄSTERBOTTENS LÄN</t>
        </is>
      </c>
      <c r="G265" t="inlineStr">
        <is>
          <t>MALÅ</t>
        </is>
      </c>
      <c r="H265" t="inlineStr">
        <is>
          <t>SCA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37327-2023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45154</v>
      </c>
      <c r="E266" s="1" t="n">
        <v>46314</v>
      </c>
      <c r="F266" t="inlineStr">
        <is>
          <t>VÄSTERBOTTENS LÄN</t>
        </is>
      </c>
      <c r="G266" t="inlineStr">
        <is>
          <t>MALÅ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46314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37629-2026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46276</v>
      </c>
      <c r="E268" s="1" t="n">
        <v>46314</v>
      </c>
      <c r="F268" t="inlineStr">
        <is>
          <t>VÄSTERBOTTENS LÄN</t>
        </is>
      </c>
      <c r="G268" t="inlineStr">
        <is>
          <t>MALÅ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37631-2026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46276</v>
      </c>
      <c r="E269" s="1" t="n">
        <v>46314</v>
      </c>
      <c r="F269" t="inlineStr">
        <is>
          <t>VÄSTERBOTTENS LÄN</t>
        </is>
      </c>
      <c r="G269" t="inlineStr">
        <is>
          <t>MALÅ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46276</v>
      </c>
      <c r="E270" s="1" t="n">
        <v>46314</v>
      </c>
      <c r="F270" t="inlineStr">
        <is>
          <t>VÄSTERBOTTENS LÄN</t>
        </is>
      </c>
      <c r="G270" t="inlineStr">
        <is>
          <t>MALÅ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45222</v>
      </c>
      <c r="E271" s="1" t="n">
        <v>46314</v>
      </c>
      <c r="F271" t="inlineStr">
        <is>
          <t>VÄSTERBOTTENS LÄN</t>
        </is>
      </c>
      <c r="G271" t="inlineStr">
        <is>
          <t>MALÅ</t>
        </is>
      </c>
      <c r="I271" t="n">
        <v>3.1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46279</v>
      </c>
      <c r="E272" s="1" t="n">
        <v>46314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45646</v>
      </c>
      <c r="E273" s="1" t="n">
        <v>46314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44964</v>
      </c>
      <c r="E274" s="1" t="n">
        <v>46314</v>
      </c>
      <c r="F274" t="inlineStr">
        <is>
          <t>VÄSTERBOTTENS LÄN</t>
        </is>
      </c>
      <c r="G274" t="inlineStr">
        <is>
          <t>MALÅ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45223</v>
      </c>
      <c r="E275" s="1" t="n">
        <v>46314</v>
      </c>
      <c r="F275" t="inlineStr">
        <is>
          <t>VÄSTERBOTTENS LÄN</t>
        </is>
      </c>
      <c r="G275" t="inlineStr">
        <is>
          <t>MALÅ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40607-2023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45170</v>
      </c>
      <c r="E276" s="1" t="n">
        <v>46314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45694</v>
      </c>
      <c r="E277" s="1" t="n">
        <v>46314</v>
      </c>
      <c r="F277" t="inlineStr">
        <is>
          <t>VÄSTERBOTTENS LÄN</t>
        </is>
      </c>
      <c r="G277" t="inlineStr">
        <is>
          <t>MALÅ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10843-2024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45369</v>
      </c>
      <c r="E278" s="1" t="n">
        <v>46314</v>
      </c>
      <c r="F278" t="inlineStr">
        <is>
          <t>VÄSTERBOTTENS LÄN</t>
        </is>
      </c>
      <c r="G278" t="inlineStr">
        <is>
          <t>MALÅ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45245</v>
      </c>
      <c r="E279" s="1" t="n">
        <v>46314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38404-2023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46314</v>
      </c>
      <c r="F280" t="inlineStr">
        <is>
          <t>VÄSTERBOTTENS LÄN</t>
        </is>
      </c>
      <c r="G280" t="inlineStr">
        <is>
          <t>MALÅ</t>
        </is>
      </c>
      <c r="I280" t="n">
        <v>17.5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41852-2023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45174</v>
      </c>
      <c r="E281" s="1" t="n">
        <v>46314</v>
      </c>
      <c r="F281" t="inlineStr">
        <is>
          <t>VÄSTERBOTTENS LÄN</t>
        </is>
      </c>
      <c r="G281" t="inlineStr">
        <is>
          <t>MALÅ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45176</v>
      </c>
      <c r="E282" s="1" t="n">
        <v>46314</v>
      </c>
      <c r="F282" t="inlineStr">
        <is>
          <t>VÄSTERBOTTENS LÄN</t>
        </is>
      </c>
      <c r="G282" t="inlineStr">
        <is>
          <t>MALÅ</t>
        </is>
      </c>
      <c r="H282" t="inlineStr">
        <is>
          <t>Sveaskog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45170</v>
      </c>
      <c r="E283" s="1" t="n">
        <v>46314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15.6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45171</v>
      </c>
      <c r="E284" s="1" t="n">
        <v>46314</v>
      </c>
      <c r="F284" t="inlineStr">
        <is>
          <t>VÄSTERBOTTENS LÄN</t>
        </is>
      </c>
      <c r="G284" t="inlineStr">
        <is>
          <t>MALÅ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41353-2023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46314</v>
      </c>
      <c r="F285" t="inlineStr">
        <is>
          <t>VÄSTERBOTTENS LÄN</t>
        </is>
      </c>
      <c r="G285" t="inlineStr">
        <is>
          <t>MALÅ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  <c r="Z285">
        <f>HYPERLINK("https://klasma.github.io/Logging_2418/knärot/A 41353-2023 karta knärot.png", "A 41353-2023")</f>
        <v/>
      </c>
      <c r="AA285">
        <f>HYPERLINK("https://klasma.github.io/Logging_2418/klagomål/A 41353-2023 FSC-klagomål.docx", "A 41353-2023")</f>
        <v/>
      </c>
      <c r="AB285">
        <f>HYPERLINK("https://klasma.github.io/Logging_2418/klagomålsmail/A 41353-2023 FSC-klagomål mail.docx", "A 41353-2023")</f>
        <v/>
      </c>
      <c r="AC285">
        <f>HYPERLINK("https://klasma.github.io/Logging_2418/tillsyn/A 41353-2023 tillsynsbegäran.docx", "A 41353-2023")</f>
        <v/>
      </c>
      <c r="AD285">
        <f>HYPERLINK("https://klasma.github.io/Logging_2418/tillsynsmail/A 41353-2023 tillsynsbegäran mail.docx", "A 41353-2023")</f>
        <v/>
      </c>
    </row>
    <row r="286" ht="15" customHeight="1">
      <c r="A286" t="inlineStr">
        <is>
          <t>A 48931-2023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46314</v>
      </c>
      <c r="F286" t="inlineStr">
        <is>
          <t>VÄSTERBOTTENS LÄN</t>
        </is>
      </c>
      <c r="G286" t="inlineStr">
        <is>
          <t>MALÅ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6671-2025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45700</v>
      </c>
      <c r="E287" s="1" t="n">
        <v>46314</v>
      </c>
      <c r="F287" t="inlineStr">
        <is>
          <t>VÄSTERBOTTENS LÄN</t>
        </is>
      </c>
      <c r="G287" t="inlineStr">
        <is>
          <t>MALÅ</t>
        </is>
      </c>
      <c r="H287" t="inlineStr">
        <is>
          <t>SCA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35917-2022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44802</v>
      </c>
      <c r="E288" s="1" t="n">
        <v>46314</v>
      </c>
      <c r="F288" t="inlineStr">
        <is>
          <t>VÄSTERBOTTENS LÄN</t>
        </is>
      </c>
      <c r="G288" t="inlineStr">
        <is>
          <t>MALÅ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39663-2023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45167</v>
      </c>
      <c r="E289" s="1" t="n">
        <v>46314</v>
      </c>
      <c r="F289" t="inlineStr">
        <is>
          <t>VÄSTERBOTTENS LÄN</t>
        </is>
      </c>
      <c r="G289" t="inlineStr">
        <is>
          <t>MALÅ</t>
        </is>
      </c>
      <c r="H289" t="inlineStr">
        <is>
          <t>Sveaskog</t>
        </is>
      </c>
      <c r="I289" t="n">
        <v>30.8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49835-2023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46314</v>
      </c>
      <c r="F290" t="inlineStr">
        <is>
          <t>VÄSTERBOTTENS LÄN</t>
        </is>
      </c>
      <c r="G290" t="inlineStr">
        <is>
          <t>MALÅ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49434-2023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45211</v>
      </c>
      <c r="E291" s="1" t="n">
        <v>46314</v>
      </c>
      <c r="F291" t="inlineStr">
        <is>
          <t>VÄSTERBOTTENS LÄN</t>
        </is>
      </c>
      <c r="G291" t="inlineStr">
        <is>
          <t>MALÅ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39538-2026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46289</v>
      </c>
      <c r="E292" s="1" t="n">
        <v>46314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35712-2026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46265</v>
      </c>
      <c r="E293" s="1" t="n">
        <v>46314</v>
      </c>
      <c r="F293" t="inlineStr">
        <is>
          <t>VÄSTERBOTTENS LÄN</t>
        </is>
      </c>
      <c r="G293" t="inlineStr">
        <is>
          <t>MALÅ</t>
        </is>
      </c>
      <c r="H293" t="inlineStr">
        <is>
          <t>SCA</t>
        </is>
      </c>
      <c r="I293" t="n">
        <v>11.5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48731-2023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45203</v>
      </c>
      <c r="E294" s="1" t="n">
        <v>46314</v>
      </c>
      <c r="F294" t="inlineStr">
        <is>
          <t>VÄSTERBOTTENS LÄN</t>
        </is>
      </c>
      <c r="G294" t="inlineStr">
        <is>
          <t>MALÅ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33230-2026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46246</v>
      </c>
      <c r="E295" s="1" t="n">
        <v>46314</v>
      </c>
      <c r="F295" t="inlineStr">
        <is>
          <t>VÄSTERBOTTENS LÄN</t>
        </is>
      </c>
      <c r="G295" t="inlineStr">
        <is>
          <t>MALÅ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39994-2023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45168</v>
      </c>
      <c r="E296" s="1" t="n">
        <v>46314</v>
      </c>
      <c r="F296" t="inlineStr">
        <is>
          <t>VÄSTERBOTTENS LÄN</t>
        </is>
      </c>
      <c r="G296" t="inlineStr">
        <is>
          <t>MALÅ</t>
        </is>
      </c>
      <c r="I296" t="n">
        <v>27.9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46289</v>
      </c>
      <c r="E297" s="1" t="n">
        <v>46314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32767-2024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45516</v>
      </c>
      <c r="E298" s="1" t="n">
        <v>46314</v>
      </c>
      <c r="F298" t="inlineStr">
        <is>
          <t>VÄSTERBOTTENS LÄN</t>
        </is>
      </c>
      <c r="G298" t="inlineStr">
        <is>
          <t>MALÅ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39644-2026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46289</v>
      </c>
      <c r="E299" s="1" t="n">
        <v>46314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16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39657-2026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46289</v>
      </c>
      <c r="E300" s="1" t="n">
        <v>46314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39639-2026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46314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14280-2024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46314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7.3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58893-2025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45987</v>
      </c>
      <c r="E303" s="1" t="n">
        <v>46314</v>
      </c>
      <c r="F303" t="inlineStr">
        <is>
          <t>VÄSTERBOTTENS LÄN</t>
        </is>
      </c>
      <c r="G303" t="inlineStr">
        <is>
          <t>MALÅ</t>
        </is>
      </c>
      <c r="I303" t="n">
        <v>19.2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46314</v>
      </c>
      <c r="F304" t="inlineStr">
        <is>
          <t>VÄSTERBOTTENS LÄN</t>
        </is>
      </c>
      <c r="G304" t="inlineStr">
        <is>
          <t>MALÅ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46031</v>
      </c>
      <c r="E305" s="1" t="n">
        <v>46314</v>
      </c>
      <c r="F305" t="inlineStr">
        <is>
          <t>VÄSTERBOTTENS LÄN</t>
        </is>
      </c>
      <c r="G305" t="inlineStr">
        <is>
          <t>MALÅ</t>
        </is>
      </c>
      <c r="I305" t="n">
        <v>8.199999999999999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46314</v>
      </c>
      <c r="F306" t="inlineStr">
        <is>
          <t>VÄSTERBOTTENS LÄN</t>
        </is>
      </c>
      <c r="G306" t="inlineStr">
        <is>
          <t>MALÅ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33764-2026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46251</v>
      </c>
      <c r="E307" s="1" t="n">
        <v>46314</v>
      </c>
      <c r="F307" t="inlineStr">
        <is>
          <t>VÄSTERBOTTENS LÄN</t>
        </is>
      </c>
      <c r="G307" t="inlineStr">
        <is>
          <t>MALÅ</t>
        </is>
      </c>
      <c r="I307" t="n">
        <v>4.6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33240-2026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46314</v>
      </c>
      <c r="F308" t="inlineStr">
        <is>
          <t>VÄSTERBOTTENS LÄN</t>
        </is>
      </c>
      <c r="G308" t="inlineStr">
        <is>
          <t>MALÅ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34247-2026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46253</v>
      </c>
      <c r="E309" s="1" t="n">
        <v>46314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10.7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34255-2026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46253</v>
      </c>
      <c r="E310" s="1" t="n">
        <v>46314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34259-2026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46253</v>
      </c>
      <c r="E311" s="1" t="n">
        <v>46314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18.4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46314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46314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58894-2025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45987</v>
      </c>
      <c r="E314" s="1" t="n">
        <v>46314</v>
      </c>
      <c r="F314" t="inlineStr">
        <is>
          <t>VÄSTERBOTTENS LÄN</t>
        </is>
      </c>
      <c r="G314" t="inlineStr">
        <is>
          <t>MALÅ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46314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46314</v>
      </c>
      <c r="F316" t="inlineStr">
        <is>
          <t>VÄSTERBOTTENS LÄN</t>
        </is>
      </c>
      <c r="G316" t="inlineStr">
        <is>
          <t>MALÅ</t>
        </is>
      </c>
      <c r="I316" t="n">
        <v>13.3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45153</v>
      </c>
      <c r="E317" s="1" t="n">
        <v>46314</v>
      </c>
      <c r="F317" t="inlineStr">
        <is>
          <t>VÄSTERBOTTENS LÄN</t>
        </is>
      </c>
      <c r="G317" t="inlineStr">
        <is>
          <t>MALÅ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36747-2023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45153</v>
      </c>
      <c r="E318" s="1" t="n">
        <v>46314</v>
      </c>
      <c r="F318" t="inlineStr">
        <is>
          <t>VÄSTERBOTTENS LÄN</t>
        </is>
      </c>
      <c r="G318" t="inlineStr">
        <is>
          <t>MALÅ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45483</v>
      </c>
      <c r="E319" s="1" t="n">
        <v>46314</v>
      </c>
      <c r="F319" t="inlineStr">
        <is>
          <t>VÄSTERBOTTENS LÄN</t>
        </is>
      </c>
      <c r="G319" t="inlineStr">
        <is>
          <t>MALÅ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58838-2024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45636</v>
      </c>
      <c r="E320" s="1" t="n">
        <v>46314</v>
      </c>
      <c r="F320" t="inlineStr">
        <is>
          <t>VÄSTERBOTTENS LÄN</t>
        </is>
      </c>
      <c r="G320" t="inlineStr">
        <is>
          <t>MALÅ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45152</v>
      </c>
      <c r="E321" s="1" t="n">
        <v>46314</v>
      </c>
      <c r="F321" t="inlineStr">
        <is>
          <t>VÄSTERBOTTENS LÄN</t>
        </is>
      </c>
      <c r="G321" t="inlineStr">
        <is>
          <t>MALÅ</t>
        </is>
      </c>
      <c r="I321" t="n">
        <v>4.6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35183-2026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46260</v>
      </c>
      <c r="E322" s="1" t="n">
        <v>46314</v>
      </c>
      <c r="F322" t="inlineStr">
        <is>
          <t>VÄSTERBOTTENS LÄN</t>
        </is>
      </c>
      <c r="G322" t="inlineStr">
        <is>
          <t>MALÅ</t>
        </is>
      </c>
      <c r="H322" t="inlineStr">
        <is>
          <t>Sveaskog</t>
        </is>
      </c>
      <c r="I322" t="n">
        <v>14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23631-2024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46314</v>
      </c>
      <c r="F323" t="inlineStr">
        <is>
          <t>VÄSTERBOTTENS LÄN</t>
        </is>
      </c>
      <c r="G323" t="inlineStr">
        <is>
          <t>MALÅ</t>
        </is>
      </c>
      <c r="I323" t="n">
        <v>9.4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67383-2021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44523</v>
      </c>
      <c r="E324" s="1" t="n">
        <v>46314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57499-2022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44889</v>
      </c>
      <c r="E325" s="1" t="n">
        <v>46314</v>
      </c>
      <c r="F325" t="inlineStr">
        <is>
          <t>VÄSTERBOTTENS LÄN</t>
        </is>
      </c>
      <c r="G325" t="inlineStr">
        <is>
          <t>MALÅ</t>
        </is>
      </c>
      <c r="I325" t="n">
        <v>10.2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45789-2023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45189</v>
      </c>
      <c r="E326" s="1" t="n">
        <v>46314</v>
      </c>
      <c r="F326" t="inlineStr">
        <is>
          <t>VÄSTERBOTTENS LÄN</t>
        </is>
      </c>
      <c r="G326" t="inlineStr">
        <is>
          <t>MALÅ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51387-2023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45219</v>
      </c>
      <c r="E327" s="1" t="n">
        <v>46314</v>
      </c>
      <c r="F327" t="inlineStr">
        <is>
          <t>VÄSTERBOTTENS LÄN</t>
        </is>
      </c>
      <c r="G327" t="inlineStr">
        <is>
          <t>MALÅ</t>
        </is>
      </c>
      <c r="H327" t="inlineStr">
        <is>
          <t>Sveaskog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46989-2023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45201</v>
      </c>
      <c r="E328" s="1" t="n">
        <v>46314</v>
      </c>
      <c r="F328" t="inlineStr">
        <is>
          <t>VÄSTERBOTTENS LÄN</t>
        </is>
      </c>
      <c r="G328" t="inlineStr">
        <is>
          <t>MALÅ</t>
        </is>
      </c>
      <c r="I328" t="n">
        <v>22.9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59801-2021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44491</v>
      </c>
      <c r="E329" s="1" t="n">
        <v>46314</v>
      </c>
      <c r="F329" t="inlineStr">
        <is>
          <t>VÄSTERBOTTENS LÄN</t>
        </is>
      </c>
      <c r="G329" t="inlineStr">
        <is>
          <t>MALÅ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32979-2024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45516</v>
      </c>
      <c r="E330" s="1" t="n">
        <v>46314</v>
      </c>
      <c r="F330" t="inlineStr">
        <is>
          <t>VÄSTERBOTTENS LÄN</t>
        </is>
      </c>
      <c r="G330" t="inlineStr">
        <is>
          <t>MALÅ</t>
        </is>
      </c>
      <c r="I330" t="n">
        <v>15.5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46314</v>
      </c>
      <c r="F331" t="inlineStr">
        <is>
          <t>VÄSTERBOTTENS LÄN</t>
        </is>
      </c>
      <c r="G331" t="inlineStr">
        <is>
          <t>MALÅ</t>
        </is>
      </c>
      <c r="I331" t="n">
        <v>16.6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45867</v>
      </c>
      <c r="E332" s="1" t="n">
        <v>46314</v>
      </c>
      <c r="F332" t="inlineStr">
        <is>
          <t>VÄSTERBOTTENS LÄN</t>
        </is>
      </c>
      <c r="G332" t="inlineStr">
        <is>
          <t>MALÅ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24924-2025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45799</v>
      </c>
      <c r="E333" s="1" t="n">
        <v>46314</v>
      </c>
      <c r="F333" t="inlineStr">
        <is>
          <t>VÄSTERBOTTENS LÄN</t>
        </is>
      </c>
      <c r="G333" t="inlineStr">
        <is>
          <t>MALÅ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24925-2025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45799</v>
      </c>
      <c r="E334" s="1" t="n">
        <v>46314</v>
      </c>
      <c r="F334" t="inlineStr">
        <is>
          <t>VÄSTERBOTTENS LÄN</t>
        </is>
      </c>
      <c r="G334" t="inlineStr">
        <is>
          <t>MALÅ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24681-2025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45798</v>
      </c>
      <c r="E335" s="1" t="n">
        <v>46314</v>
      </c>
      <c r="F335" t="inlineStr">
        <is>
          <t>VÄSTERBOTTENS LÄN</t>
        </is>
      </c>
      <c r="G335" t="inlineStr">
        <is>
          <t>MALÅ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42675-2026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46309</v>
      </c>
      <c r="E336" s="1" t="n">
        <v>46314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29375-2023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45098</v>
      </c>
      <c r="E337" s="1" t="n">
        <v>46314</v>
      </c>
      <c r="F337" t="inlineStr">
        <is>
          <t>VÄSTERBOTTENS LÄN</t>
        </is>
      </c>
      <c r="G337" t="inlineStr">
        <is>
          <t>MALÅ</t>
        </is>
      </c>
      <c r="I337" t="n">
        <v>10.5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26892-2022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44740</v>
      </c>
      <c r="E338" s="1" t="n">
        <v>46314</v>
      </c>
      <c r="F338" t="inlineStr">
        <is>
          <t>VÄSTERBOTTENS LÄN</t>
        </is>
      </c>
      <c r="G338" t="inlineStr">
        <is>
          <t>MALÅ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46310</v>
      </c>
      <c r="E339" s="1" t="n">
        <v>46314</v>
      </c>
      <c r="F339" t="inlineStr">
        <is>
          <t>VÄSTERBOTTENS LÄN</t>
        </is>
      </c>
      <c r="G339" t="inlineStr">
        <is>
          <t>MALÅ</t>
        </is>
      </c>
      <c r="H339" t="inlineStr">
        <is>
          <t>Sveaskog</t>
        </is>
      </c>
      <c r="I339" t="n">
        <v>7.3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42901-2026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46310</v>
      </c>
      <c r="E340" s="1" t="n">
        <v>46314</v>
      </c>
      <c r="F340" t="inlineStr">
        <is>
          <t>VÄSTERBOTTENS LÄN</t>
        </is>
      </c>
      <c r="G340" t="inlineStr">
        <is>
          <t>MALÅ</t>
        </is>
      </c>
      <c r="H340" t="inlineStr">
        <is>
          <t>Sveaskog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48089-2024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45589</v>
      </c>
      <c r="E341" s="1" t="n">
        <v>46314</v>
      </c>
      <c r="F341" t="inlineStr">
        <is>
          <t>VÄSTERBOTTENS LÄN</t>
        </is>
      </c>
      <c r="G341" t="inlineStr">
        <is>
          <t>MALÅ</t>
        </is>
      </c>
      <c r="H341" t="inlineStr">
        <is>
          <t>SCA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35723-2025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45860</v>
      </c>
      <c r="E342" s="1" t="n">
        <v>46314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14.7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35844-2025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45861</v>
      </c>
      <c r="E343" s="1" t="n">
        <v>46314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45861</v>
      </c>
      <c r="E344" s="1" t="n">
        <v>46314</v>
      </c>
      <c r="F344" t="inlineStr">
        <is>
          <t>VÄSTERBOTTENS LÄN</t>
        </is>
      </c>
      <c r="G344" t="inlineStr">
        <is>
          <t>MALÅ</t>
        </is>
      </c>
      <c r="H344" t="inlineStr">
        <is>
          <t>Sveaskog</t>
        </is>
      </c>
      <c r="I344" t="n">
        <v>10.9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35728-2025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45860</v>
      </c>
      <c r="E345" s="1" t="n">
        <v>46314</v>
      </c>
      <c r="F345" t="inlineStr">
        <is>
          <t>VÄSTERBOTTENS LÄN</t>
        </is>
      </c>
      <c r="G345" t="inlineStr">
        <is>
          <t>MALÅ</t>
        </is>
      </c>
      <c r="H345" t="inlineStr">
        <is>
          <t>Sveaskog</t>
        </is>
      </c>
      <c r="I345" t="n">
        <v>14.8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35851-2025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45861</v>
      </c>
      <c r="E346" s="1" t="n">
        <v>46314</v>
      </c>
      <c r="F346" t="inlineStr">
        <is>
          <t>VÄSTERBOTTENS LÄN</t>
        </is>
      </c>
      <c r="G346" t="inlineStr">
        <is>
          <t>MALÅ</t>
        </is>
      </c>
      <c r="H346" t="inlineStr">
        <is>
          <t>Sveaskog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35856-2025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45861</v>
      </c>
      <c r="E347" s="1" t="n">
        <v>46314</v>
      </c>
      <c r="F347" t="inlineStr">
        <is>
          <t>VÄSTERBOTTENS LÄN</t>
        </is>
      </c>
      <c r="G347" t="inlineStr">
        <is>
          <t>MALÅ</t>
        </is>
      </c>
      <c r="H347" t="inlineStr">
        <is>
          <t>Sveaskog</t>
        </is>
      </c>
      <c r="I347" t="n">
        <v>11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37119-2025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45875</v>
      </c>
      <c r="E348" s="1" t="n">
        <v>46314</v>
      </c>
      <c r="F348" t="inlineStr">
        <is>
          <t>VÄSTERBOTTENS LÄN</t>
        </is>
      </c>
      <c r="G348" t="inlineStr">
        <is>
          <t>MALÅ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894-2022</t>
        </is>
      </c>
      <c r="B349" t="inlineStr">
        <is>
          <t>samrådsanmälan</t>
        </is>
      </c>
      <c r="C349" t="inlineStr">
        <is>
          <t>Skogsgödsling</t>
        </is>
      </c>
      <c r="D349" s="1" t="n">
        <v>44607</v>
      </c>
      <c r="E349" s="1" t="n">
        <v>46314</v>
      </c>
      <c r="F349" t="inlineStr">
        <is>
          <t>VÄSTERBOTTENS LÄN</t>
        </is>
      </c>
      <c r="G349" t="inlineStr">
        <is>
          <t>MALÅ</t>
        </is>
      </c>
      <c r="H349" t="inlineStr">
        <is>
          <t>SCA</t>
        </is>
      </c>
      <c r="I349" t="n">
        <v>86.3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2026-10-19T02:05:58Z</dcterms:created>
  <dcterms:modified xmlns:dcterms="http://purl.org/dc/terms/" xmlns:xsi="http://www.w3.org/2001/XMLSchema-instance" xsi:type="dcterms:W3CDTF">2026-10-19T02:05:59Z</dcterms:modified>
</cp:coreProperties>
</file>