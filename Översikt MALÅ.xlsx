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42818-2026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46309</v>
      </c>
      <c r="E3" s="1" t="n">
        <v>46315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19.8</v>
      </c>
      <c r="J3" t="n">
        <v>1</v>
      </c>
      <c r="K3" t="n">
        <v>0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4</v>
      </c>
      <c r="U3" t="n">
        <v>2</v>
      </c>
      <c r="V3" s="2" t="inlineStr">
        <is>
          <t>Garnlav
Gränsticka
Kolflarnlav
Fjällummer × plattlummer</t>
        </is>
      </c>
      <c r="W3">
        <f>HYPERLINK("https://klasma.github.io/Logging_2418/artfynd/A 42818-2026 artfynd.xlsx", "A 42818-2026")</f>
        <v/>
      </c>
      <c r="X3">
        <f>HYPERLINK("https://klasma.github.io/Logging_2418/kartor/A 42818-2026 karta.png", "A 42818-2026")</f>
        <v/>
      </c>
      <c r="Y3">
        <f>HYPERLINK("https://klasma.github.io/Logging_2418/kartor_geotiff/A 42818-2026 georefererad karta.tif", "A 42818-2026")</f>
        <v/>
      </c>
      <c r="AA3">
        <f>HYPERLINK("https://klasma.github.io/Logging_2418/klagomål/A 42818-2026 FSC-klagomål.docx", "A 42818-2026")</f>
        <v/>
      </c>
      <c r="AB3">
        <f>HYPERLINK("https://klasma.github.io/Logging_2418/klagomålsmail/A 42818-2026 FSC-klagomål mail.docx", "A 42818-2026")</f>
        <v/>
      </c>
      <c r="AC3">
        <f>HYPERLINK("https://klasma.github.io/Logging_2418/tillsyn/A 42818-2026 tillsynsbegäran.docx", "A 42818-2026")</f>
        <v/>
      </c>
      <c r="AD3">
        <f>HYPERLINK("https://klasma.github.io/Logging_2418/tillsynsmail/A 42818-2026 tillsynsbegäran mail.docx", "A 42818-2026")</f>
        <v/>
      </c>
    </row>
    <row r="4" ht="15" customHeight="1">
      <c r="A4" t="inlineStr">
        <is>
          <t>A 39692-2024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45552</v>
      </c>
      <c r="E4" s="1" t="n">
        <v>46315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15.8</v>
      </c>
      <c r="J4" t="n">
        <v>1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 taggsvamp
Orange taggsvamp
Skarp dropptaggsvamp
Plattlummer</t>
        </is>
      </c>
      <c r="W4">
        <f>HYPERLINK("https://klasma.github.io/Logging_2418/artfynd/A 39692-2024 artfynd.xlsx", "A 39692-2024")</f>
        <v/>
      </c>
      <c r="X4">
        <f>HYPERLINK("https://klasma.github.io/Logging_2418/kartor/A 39692-2024 karta.png", "A 39692-2024")</f>
        <v/>
      </c>
      <c r="Y4">
        <f>HYPERLINK("https://klasma.github.io/Logging_2418/kartor_geotiff/A 39692-2024 georefererad karta.tif", "A 39692-2024")</f>
        <v/>
      </c>
      <c r="AA4">
        <f>HYPERLINK("https://klasma.github.io/Logging_2418/klagomål/A 39692-2024 FSC-klagomål.docx", "A 39692-2024")</f>
        <v/>
      </c>
      <c r="AB4">
        <f>HYPERLINK("https://klasma.github.io/Logging_2418/klagomålsmail/A 39692-2024 FSC-klagomål mail.docx", "A 39692-2024")</f>
        <v/>
      </c>
      <c r="AC4">
        <f>HYPERLINK("https://klasma.github.io/Logging_2418/tillsyn/A 39692-2024 tillsynsbegäran.docx", "A 39692-2024")</f>
        <v/>
      </c>
      <c r="AD4">
        <f>HYPERLINK("https://klasma.github.io/Logging_2418/tillsynsmail/A 39692-2024 tillsynsbegäran mail.docx", "A 39692-2024")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46315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46315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46315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46315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46315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46315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43367-2026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46314</v>
      </c>
      <c r="E15" s="1" t="n">
        <v>46315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7.8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kolflarnlav</t>
        </is>
      </c>
      <c r="W15">
        <f>HYPERLINK("https://klasma.github.io/Logging_2418/artfynd/A 43367-2026 artfynd.xlsx", "A 43367-2026")</f>
        <v/>
      </c>
      <c r="X15">
        <f>HYPERLINK("https://klasma.github.io/Logging_2418/kartor/A 43367-2026 karta.png", "A 43367-2026")</f>
        <v/>
      </c>
      <c r="Y15">
        <f>HYPERLINK("https://klasma.github.io/Logging_2418/kartor_geotiff/A 43367-2026 georefererad karta.tif", "A 43367-2026")</f>
        <v/>
      </c>
      <c r="AA15">
        <f>HYPERLINK("https://klasma.github.io/Logging_2418/klagomål/A 43367-2026 FSC-klagomål.docx", "A 43367-2026")</f>
        <v/>
      </c>
      <c r="AB15">
        <f>HYPERLINK("https://klasma.github.io/Logging_2418/klagomålsmail/A 43367-2026 FSC-klagomål mail.docx", "A 43367-2026")</f>
        <v/>
      </c>
      <c r="AC15">
        <f>HYPERLINK("https://klasma.github.io/Logging_2418/tillsyn/A 43367-2026 tillsynsbegäran.docx", "A 43367-2026")</f>
        <v/>
      </c>
      <c r="AD15">
        <f>HYPERLINK("https://klasma.github.io/Logging_2418/tillsynsmail/A 43367-2026 tillsynsbegäran mail.docx", "A 43367-2026")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46315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46315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46315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46315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6671-2025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45700</v>
      </c>
      <c r="E20" s="1" t="n">
        <v>46315</v>
      </c>
      <c r="F20" t="inlineStr">
        <is>
          <t>VÄSTERBOTTENS LÄN</t>
        </is>
      </c>
      <c r="G20" t="inlineStr">
        <is>
          <t>MALÅ</t>
        </is>
      </c>
      <c r="H20" t="inlineStr">
        <is>
          <t>SCA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52270-2023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45217</v>
      </c>
      <c r="E21" s="1" t="n">
        <v>46315</v>
      </c>
      <c r="F21" t="inlineStr">
        <is>
          <t>VÄSTERBOTTENS LÄN</t>
        </is>
      </c>
      <c r="G21" t="inlineStr">
        <is>
          <t>MALÅ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48931-2023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45209</v>
      </c>
      <c r="E22" s="1" t="n">
        <v>46315</v>
      </c>
      <c r="F22" t="inlineStr">
        <is>
          <t>VÄSTERBOTTENS LÄN</t>
        </is>
      </c>
      <c r="G22" t="inlineStr">
        <is>
          <t>MALÅ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45252</v>
      </c>
      <c r="E23" s="1" t="n">
        <v>46315</v>
      </c>
      <c r="F23" t="inlineStr">
        <is>
          <t>VÄSTERBOTTENS LÄN</t>
        </is>
      </c>
      <c r="G23" t="inlineStr">
        <is>
          <t>MALÅ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51357-2023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46315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14280-2024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46315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46315</v>
      </c>
      <c r="F26" t="inlineStr">
        <is>
          <t>VÄSTERBOTTENS LÄN</t>
        </is>
      </c>
      <c r="G26" t="inlineStr">
        <is>
          <t>MALÅ</t>
        </is>
      </c>
      <c r="I26" t="n">
        <v>10.9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13004-2023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46315</v>
      </c>
      <c r="F27" t="inlineStr">
        <is>
          <t>VÄSTERBOTTENS LÄN</t>
        </is>
      </c>
      <c r="G27" t="inlineStr">
        <is>
          <t>MALÅ</t>
        </is>
      </c>
      <c r="H27" t="inlineStr">
        <is>
          <t>SCA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62257-2023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46315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33690-2024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45520</v>
      </c>
      <c r="E29" s="1" t="n">
        <v>46315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46315</v>
      </c>
      <c r="F30" t="inlineStr">
        <is>
          <t>VÄSTERBOTTENS LÄN</t>
        </is>
      </c>
      <c r="G30" t="inlineStr">
        <is>
          <t>MALÅ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46315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12857-2024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45384</v>
      </c>
      <c r="E32" s="1" t="n">
        <v>46315</v>
      </c>
      <c r="F32" t="inlineStr">
        <is>
          <t>VÄSTERBOTTENS LÄN</t>
        </is>
      </c>
      <c r="G32" t="inlineStr">
        <is>
          <t>MALÅ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46315</v>
      </c>
      <c r="F33" t="inlineStr">
        <is>
          <t>VÄSTERBOTTENS LÄN</t>
        </is>
      </c>
      <c r="G33" t="inlineStr">
        <is>
          <t>MALÅ</t>
        </is>
      </c>
      <c r="I33" t="n">
        <v>9.800000000000001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58240-2022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44893</v>
      </c>
      <c r="E34" s="1" t="n">
        <v>46315</v>
      </c>
      <c r="F34" t="inlineStr">
        <is>
          <t>VÄSTERBOTTENS LÄN</t>
        </is>
      </c>
      <c r="G34" t="inlineStr">
        <is>
          <t>MALÅ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46315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46315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63.6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45139</v>
      </c>
      <c r="E37" s="1" t="n">
        <v>46315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32772-2024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45516</v>
      </c>
      <c r="E38" s="1" t="n">
        <v>46315</v>
      </c>
      <c r="F38" t="inlineStr">
        <is>
          <t>VÄSTERBOTTENS LÄN</t>
        </is>
      </c>
      <c r="G38" t="inlineStr">
        <is>
          <t>MALÅ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46315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20234-2023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46315</v>
      </c>
      <c r="F40" t="inlineStr">
        <is>
          <t>VÄSTERBOTTENS LÄN</t>
        </is>
      </c>
      <c r="G40" t="inlineStr">
        <is>
          <t>MALÅ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45154</v>
      </c>
      <c r="E41" s="1" t="n">
        <v>46315</v>
      </c>
      <c r="F41" t="inlineStr">
        <is>
          <t>VÄSTERBOTTENS LÄN</t>
        </is>
      </c>
      <c r="G41" t="inlineStr">
        <is>
          <t>MALÅ</t>
        </is>
      </c>
      <c r="I41" t="n">
        <v>73.7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39788-2023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45167</v>
      </c>
      <c r="E42" s="1" t="n">
        <v>46315</v>
      </c>
      <c r="F42" t="inlineStr">
        <is>
          <t>VÄSTERBOTTENS LÄN</t>
        </is>
      </c>
      <c r="G42" t="inlineStr">
        <is>
          <t>MALÅ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44893</v>
      </c>
      <c r="E43" s="1" t="n">
        <v>46315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45230</v>
      </c>
      <c r="E44" s="1" t="n">
        <v>46315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46315</v>
      </c>
      <c r="F45" t="inlineStr">
        <is>
          <t>VÄSTERBOTTENS LÄN</t>
        </is>
      </c>
      <c r="G45" t="inlineStr">
        <is>
          <t>MALÅ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  <c r="Z45">
        <f>HYPERLINK("https://klasma.github.io/Logging_2418/knärot/A 41353-2023 karta knärot.png", "A 41353-2023")</f>
        <v/>
      </c>
      <c r="AA45">
        <f>HYPERLINK("https://klasma.github.io/Logging_2418/klagomål/A 41353-2023 FSC-klagomål.docx", "A 41353-2023")</f>
        <v/>
      </c>
      <c r="AB45">
        <f>HYPERLINK("https://klasma.github.io/Logging_2418/klagomålsmail/A 41353-2023 FSC-klagomål mail.docx", "A 41353-2023")</f>
        <v/>
      </c>
      <c r="AC45">
        <f>HYPERLINK("https://klasma.github.io/Logging_2418/tillsyn/A 41353-2023 tillsynsbegäran.docx", "A 41353-2023")</f>
        <v/>
      </c>
      <c r="AD45">
        <f>HYPERLINK("https://klasma.github.io/Logging_2418/tillsynsmail/A 41353-2023 tillsynsbegäran mail.docx", "A 41353-2023")</f>
        <v/>
      </c>
    </row>
    <row r="46" ht="15" customHeight="1">
      <c r="A46" t="inlineStr">
        <is>
          <t>A 41913-2023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45176</v>
      </c>
      <c r="E46" s="1" t="n">
        <v>46315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45154</v>
      </c>
      <c r="E47" s="1" t="n">
        <v>46315</v>
      </c>
      <c r="F47" t="inlineStr">
        <is>
          <t>VÄSTERBOTTENS LÄN</t>
        </is>
      </c>
      <c r="G47" t="inlineStr">
        <is>
          <t>MALÅ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49434-2023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45211</v>
      </c>
      <c r="E48" s="1" t="n">
        <v>46315</v>
      </c>
      <c r="F48" t="inlineStr">
        <is>
          <t>VÄSTERBOTTENS LÄN</t>
        </is>
      </c>
      <c r="G48" t="inlineStr">
        <is>
          <t>MALÅ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46315</v>
      </c>
      <c r="F49" t="inlineStr">
        <is>
          <t>VÄSTERBOTTENS LÄN</t>
        </is>
      </c>
      <c r="G49" t="inlineStr">
        <is>
          <t>MALÅ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44792</v>
      </c>
      <c r="E50" s="1" t="n">
        <v>46315</v>
      </c>
      <c r="F50" t="inlineStr">
        <is>
          <t>VÄSTERBOTTENS LÄN</t>
        </is>
      </c>
      <c r="G50" t="inlineStr">
        <is>
          <t>MALÅ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45694</v>
      </c>
      <c r="E51" s="1" t="n">
        <v>46315</v>
      </c>
      <c r="F51" t="inlineStr">
        <is>
          <t>VÄSTERBOTTENS LÄN</t>
        </is>
      </c>
      <c r="G51" t="inlineStr">
        <is>
          <t>MALÅ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44994</v>
      </c>
      <c r="E52" s="1" t="n">
        <v>46315</v>
      </c>
      <c r="F52" t="inlineStr">
        <is>
          <t>VÄSTERBOTTENS LÄN</t>
        </is>
      </c>
      <c r="G52" t="inlineStr">
        <is>
          <t>MALÅ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45643</v>
      </c>
      <c r="E53" s="1" t="n">
        <v>46315</v>
      </c>
      <c r="F53" t="inlineStr">
        <is>
          <t>VÄSTERBOTTENS LÄN</t>
        </is>
      </c>
      <c r="G53" t="inlineStr">
        <is>
          <t>MALÅ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45000</v>
      </c>
      <c r="E54" s="1" t="n">
        <v>46315</v>
      </c>
      <c r="F54" t="inlineStr">
        <is>
          <t>VÄSTERBOTTENS LÄN</t>
        </is>
      </c>
      <c r="G54" t="inlineStr">
        <is>
          <t>MALÅ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45201</v>
      </c>
      <c r="E55" s="1" t="n">
        <v>46315</v>
      </c>
      <c r="F55" t="inlineStr">
        <is>
          <t>VÄSTERBOTTENS LÄN</t>
        </is>
      </c>
      <c r="G55" t="inlineStr">
        <is>
          <t>MALÅ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46315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46315</v>
      </c>
      <c r="F57" t="inlineStr">
        <is>
          <t>VÄSTERBOTTENS LÄN</t>
        </is>
      </c>
      <c r="G57" t="inlineStr">
        <is>
          <t>MALÅ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45152</v>
      </c>
      <c r="E58" s="1" t="n">
        <v>46315</v>
      </c>
      <c r="F58" t="inlineStr">
        <is>
          <t>VÄSTERBOTTENS LÄN</t>
        </is>
      </c>
      <c r="G58" t="inlineStr">
        <is>
          <t>MALÅ</t>
        </is>
      </c>
      <c r="I58" t="n">
        <v>41.7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45153</v>
      </c>
      <c r="E59" s="1" t="n">
        <v>46315</v>
      </c>
      <c r="F59" t="inlineStr">
        <is>
          <t>VÄSTERBOTTENS LÄN</t>
        </is>
      </c>
      <c r="G59" t="inlineStr">
        <is>
          <t>MALÅ</t>
        </is>
      </c>
      <c r="I59" t="n">
        <v>15.7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45153</v>
      </c>
      <c r="E60" s="1" t="n">
        <v>46315</v>
      </c>
      <c r="F60" t="inlineStr">
        <is>
          <t>VÄSTERBOTTENS LÄN</t>
        </is>
      </c>
      <c r="G60" t="inlineStr">
        <is>
          <t>MALÅ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9191-2025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45714</v>
      </c>
      <c r="E61" s="1" t="n">
        <v>46315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18.7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59463-2025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45989</v>
      </c>
      <c r="E62" s="1" t="n">
        <v>46315</v>
      </c>
      <c r="F62" t="inlineStr">
        <is>
          <t>VÄSTERBOTTENS LÄN</t>
        </is>
      </c>
      <c r="G62" t="inlineStr">
        <is>
          <t>MALÅ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45178</v>
      </c>
      <c r="E63" s="1" t="n">
        <v>46315</v>
      </c>
      <c r="F63" t="inlineStr">
        <is>
          <t>VÄSTERBOTTENS LÄN</t>
        </is>
      </c>
      <c r="G63" t="inlineStr">
        <is>
          <t>MALÅ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13001-2023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46315</v>
      </c>
      <c r="F64" t="inlineStr">
        <is>
          <t>VÄSTERBOTTENS LÄN</t>
        </is>
      </c>
      <c r="G64" t="inlineStr">
        <is>
          <t>MALÅ</t>
        </is>
      </c>
      <c r="H64" t="inlineStr">
        <is>
          <t>SCA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45639</v>
      </c>
      <c r="E65" s="1" t="n">
        <v>46315</v>
      </c>
      <c r="F65" t="inlineStr">
        <is>
          <t>VÄSTERBOTTENS LÄN</t>
        </is>
      </c>
      <c r="G65" t="inlineStr">
        <is>
          <t>MALÅ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43501-2023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46315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46315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46315</v>
      </c>
      <c r="F68" t="inlineStr">
        <is>
          <t>VÄSTERBOTTENS LÄN</t>
        </is>
      </c>
      <c r="G68" t="inlineStr">
        <is>
          <t>MALÅ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46315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46315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39614-2025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46315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7.4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45162</v>
      </c>
      <c r="E72" s="1" t="n">
        <v>46315</v>
      </c>
      <c r="F72" t="inlineStr">
        <is>
          <t>VÄSTERBOTTENS LÄN</t>
        </is>
      </c>
      <c r="G72" t="inlineStr">
        <is>
          <t>MALÅ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46315</v>
      </c>
      <c r="F73" t="inlineStr">
        <is>
          <t>VÄSTERBOTTENS LÄN</t>
        </is>
      </c>
      <c r="G73" t="inlineStr">
        <is>
          <t>MALÅ</t>
        </is>
      </c>
      <c r="I73" t="n">
        <v>8.9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46315</v>
      </c>
      <c r="F74" t="inlineStr">
        <is>
          <t>VÄSTERBOTTENS LÄN</t>
        </is>
      </c>
      <c r="G74" t="inlineStr">
        <is>
          <t>MALÅ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45646</v>
      </c>
      <c r="E75" s="1" t="n">
        <v>46315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45502</v>
      </c>
      <c r="E76" s="1" t="n">
        <v>46315</v>
      </c>
      <c r="F76" t="inlineStr">
        <is>
          <t>VÄSTERBOTTENS LÄN</t>
        </is>
      </c>
      <c r="G76" t="inlineStr">
        <is>
          <t>MALÅ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36124-2023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45149</v>
      </c>
      <c r="E77" s="1" t="n">
        <v>46315</v>
      </c>
      <c r="F77" t="inlineStr">
        <is>
          <t>VÄSTERBOTTENS LÄN</t>
        </is>
      </c>
      <c r="G77" t="inlineStr">
        <is>
          <t>MALÅ</t>
        </is>
      </c>
      <c r="I77" t="n">
        <v>26.9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46315</v>
      </c>
      <c r="F78" t="inlineStr">
        <is>
          <t>VÄSTERBOTTENS LÄN</t>
        </is>
      </c>
      <c r="G78" t="inlineStr">
        <is>
          <t>MALÅ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60702-2024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46315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41198-2025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46315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22.4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48322-2023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46315</v>
      </c>
      <c r="F81" t="inlineStr">
        <is>
          <t>VÄSTERBOTTENS LÄN</t>
        </is>
      </c>
      <c r="G81" t="inlineStr">
        <is>
          <t>MALÅ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46315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46315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45022</v>
      </c>
      <c r="E84" s="1" t="n">
        <v>46315</v>
      </c>
      <c r="F84" t="inlineStr">
        <is>
          <t>VÄSTERBOTTENS LÄN</t>
        </is>
      </c>
      <c r="G84" t="inlineStr">
        <is>
          <t>MALÅ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45022</v>
      </c>
      <c r="E85" s="1" t="n">
        <v>46315</v>
      </c>
      <c r="F85" t="inlineStr">
        <is>
          <t>VÄSTERBOTTENS LÄN</t>
        </is>
      </c>
      <c r="G85" t="inlineStr">
        <is>
          <t>MALÅ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40943-2025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45897</v>
      </c>
      <c r="E86" s="1" t="n">
        <v>46315</v>
      </c>
      <c r="F86" t="inlineStr">
        <is>
          <t>VÄSTERBOTTENS LÄN</t>
        </is>
      </c>
      <c r="G86" t="inlineStr">
        <is>
          <t>MALÅ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46315</v>
      </c>
      <c r="F87" t="inlineStr">
        <is>
          <t>VÄSTERBOTTENS LÄN</t>
        </is>
      </c>
      <c r="G87" t="inlineStr">
        <is>
          <t>MALÅ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46315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21.8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45193</v>
      </c>
      <c r="E89" s="1" t="n">
        <v>46315</v>
      </c>
      <c r="F89" t="inlineStr">
        <is>
          <t>VÄSTERBOTTENS LÄN</t>
        </is>
      </c>
      <c r="G89" t="inlineStr">
        <is>
          <t>MALÅ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45190</v>
      </c>
      <c r="E90" s="1" t="n">
        <v>46315</v>
      </c>
      <c r="F90" t="inlineStr">
        <is>
          <t>VÄSTERBOTTENS LÄN</t>
        </is>
      </c>
      <c r="G90" t="inlineStr">
        <is>
          <t>MALÅ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46315</v>
      </c>
      <c r="F91" t="inlineStr">
        <is>
          <t>VÄSTERBOTTENS LÄN</t>
        </is>
      </c>
      <c r="G91" t="inlineStr">
        <is>
          <t>MALÅ</t>
        </is>
      </c>
      <c r="I91" t="n">
        <v>48.2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46315</v>
      </c>
      <c r="F92" t="inlineStr">
        <is>
          <t>VÄSTERBOTTENS LÄN</t>
        </is>
      </c>
      <c r="G92" t="inlineStr">
        <is>
          <t>MALÅ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39246-2023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46315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46315</v>
      </c>
      <c r="F94" t="inlineStr">
        <is>
          <t>VÄSTERBOTTENS LÄN</t>
        </is>
      </c>
      <c r="G94" t="inlineStr">
        <is>
          <t>MALÅ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45932</v>
      </c>
      <c r="E95" s="1" t="n">
        <v>46315</v>
      </c>
      <c r="F95" t="inlineStr">
        <is>
          <t>VÄSTERBOTTENS LÄN</t>
        </is>
      </c>
      <c r="G95" t="inlineStr">
        <is>
          <t>MALÅ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44802</v>
      </c>
      <c r="E96" s="1" t="n">
        <v>46315</v>
      </c>
      <c r="F96" t="inlineStr">
        <is>
          <t>VÄSTERBOTTENS LÄN</t>
        </is>
      </c>
      <c r="G96" t="inlineStr">
        <is>
          <t>MALÅ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45022</v>
      </c>
      <c r="E97" s="1" t="n">
        <v>46315</v>
      </c>
      <c r="F97" t="inlineStr">
        <is>
          <t>VÄSTERBOTTENS LÄN</t>
        </is>
      </c>
      <c r="G97" t="inlineStr">
        <is>
          <t>MALÅ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46315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46315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54239-2022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46315</v>
      </c>
      <c r="F100" t="inlineStr">
        <is>
          <t>VÄSTERBOTTENS LÄN</t>
        </is>
      </c>
      <c r="G100" t="inlineStr">
        <is>
          <t>MALÅ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46315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46315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48983-2025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46315</v>
      </c>
      <c r="F103" t="inlineStr">
        <is>
          <t>VÄSTERBOTTENS LÄN</t>
        </is>
      </c>
      <c r="G103" t="inlineStr">
        <is>
          <t>MALÅ</t>
        </is>
      </c>
      <c r="H103" t="inlineStr">
        <is>
          <t>SCA</t>
        </is>
      </c>
      <c r="I103" t="n">
        <v>11.7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45179</v>
      </c>
      <c r="E104" s="1" t="n">
        <v>46315</v>
      </c>
      <c r="F104" t="inlineStr">
        <is>
          <t>VÄSTERBOTTENS LÄN</t>
        </is>
      </c>
      <c r="G104" t="inlineStr">
        <is>
          <t>MALÅ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46315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46315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46315</v>
      </c>
      <c r="F107" t="inlineStr">
        <is>
          <t>VÄSTERBOTTENS LÄN</t>
        </is>
      </c>
      <c r="G107" t="inlineStr">
        <is>
          <t>MALÅ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46315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46315</v>
      </c>
      <c r="F109" t="inlineStr">
        <is>
          <t>VÄSTERBOTTENS LÄN</t>
        </is>
      </c>
      <c r="G109" t="inlineStr">
        <is>
          <t>MALÅ</t>
        </is>
      </c>
      <c r="I109" t="n">
        <v>18.6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46315</v>
      </c>
      <c r="F110" t="inlineStr">
        <is>
          <t>VÄSTERBOTTENS LÄN</t>
        </is>
      </c>
      <c r="G110" t="inlineStr">
        <is>
          <t>MALÅ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46315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46315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46315</v>
      </c>
      <c r="F113" t="inlineStr">
        <is>
          <t>VÄSTERBOTTENS LÄN</t>
        </is>
      </c>
      <c r="G113" t="inlineStr">
        <is>
          <t>MALÅ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46315</v>
      </c>
      <c r="F114" t="inlineStr">
        <is>
          <t>VÄSTERBOTTENS LÄN</t>
        </is>
      </c>
      <c r="G114" t="inlineStr">
        <is>
          <t>MALÅ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46315</v>
      </c>
      <c r="F115" t="inlineStr">
        <is>
          <t>VÄSTERBOTTENS LÄN</t>
        </is>
      </c>
      <c r="G115" t="inlineStr">
        <is>
          <t>MALÅ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46315</v>
      </c>
      <c r="F116" t="inlineStr">
        <is>
          <t>VÄSTERBOTTENS LÄN</t>
        </is>
      </c>
      <c r="G116" t="inlineStr">
        <is>
          <t>MALÅ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46315</v>
      </c>
      <c r="F117" t="inlineStr">
        <is>
          <t>VÄSTERBOTTENS LÄN</t>
        </is>
      </c>
      <c r="G117" t="inlineStr">
        <is>
          <t>MALÅ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46315</v>
      </c>
      <c r="F118" t="inlineStr">
        <is>
          <t>VÄSTERBOTTENS LÄN</t>
        </is>
      </c>
      <c r="G118" t="inlineStr">
        <is>
          <t>MALÅ</t>
        </is>
      </c>
      <c r="I118" t="n">
        <v>9.300000000000001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46315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46315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35844-2023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45148</v>
      </c>
      <c r="E121" s="1" t="n">
        <v>46315</v>
      </c>
      <c r="F121" t="inlineStr">
        <is>
          <t>VÄSTERBOTTENS LÄN</t>
        </is>
      </c>
      <c r="G121" t="inlineStr">
        <is>
          <t>MALÅ</t>
        </is>
      </c>
      <c r="I121" t="n">
        <v>26.3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46315</v>
      </c>
      <c r="F122" t="inlineStr">
        <is>
          <t>VÄSTERBOTTENS LÄN</t>
        </is>
      </c>
      <c r="G122" t="inlineStr">
        <is>
          <t>MALÅ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54742-2025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46315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45245</v>
      </c>
      <c r="E124" s="1" t="n">
        <v>46315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54628-2025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46315</v>
      </c>
      <c r="F125" t="inlineStr">
        <is>
          <t>VÄSTERBOTTENS LÄN</t>
        </is>
      </c>
      <c r="G125" t="inlineStr">
        <is>
          <t>MALÅ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46315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54463-2025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45964</v>
      </c>
      <c r="E127" s="1" t="n">
        <v>46315</v>
      </c>
      <c r="F127" t="inlineStr">
        <is>
          <t>VÄSTERBOTTENS LÄN</t>
        </is>
      </c>
      <c r="G127" t="inlineStr">
        <is>
          <t>MALÅ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54455-2025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45964</v>
      </c>
      <c r="E128" s="1" t="n">
        <v>46315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46315</v>
      </c>
      <c r="F129" t="inlineStr">
        <is>
          <t>VÄSTERBOTTENS LÄN</t>
        </is>
      </c>
      <c r="G129" t="inlineStr">
        <is>
          <t>MALÅ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46315</v>
      </c>
      <c r="F130" t="inlineStr">
        <is>
          <t>VÄSTERBOTTENS LÄN</t>
        </is>
      </c>
      <c r="G130" t="inlineStr">
        <is>
          <t>MALÅ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45158</v>
      </c>
      <c r="E131" s="1" t="n">
        <v>46315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46315</v>
      </c>
      <c r="F132" t="inlineStr">
        <is>
          <t>VÄSTERBOTTENS LÄN</t>
        </is>
      </c>
      <c r="G132" t="inlineStr">
        <is>
          <t>MALÅ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46315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46315</v>
      </c>
      <c r="F134" t="inlineStr">
        <is>
          <t>VÄSTERBOTTENS LÄN</t>
        </is>
      </c>
      <c r="G134" t="inlineStr">
        <is>
          <t>MALÅ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46315</v>
      </c>
      <c r="F135" t="inlineStr">
        <is>
          <t>VÄSTERBOTTENS LÄN</t>
        </is>
      </c>
      <c r="G135" t="inlineStr">
        <is>
          <t>MALÅ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45973</v>
      </c>
      <c r="E136" s="1" t="n">
        <v>46315</v>
      </c>
      <c r="F136" t="inlineStr">
        <is>
          <t>VÄSTERBOTTENS LÄN</t>
        </is>
      </c>
      <c r="G136" t="inlineStr">
        <is>
          <t>MALÅ</t>
        </is>
      </c>
      <c r="I136" t="n">
        <v>20.7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45152</v>
      </c>
      <c r="E137" s="1" t="n">
        <v>46315</v>
      </c>
      <c r="F137" t="inlineStr">
        <is>
          <t>VÄSTERBOTTENS LÄN</t>
        </is>
      </c>
      <c r="G137" t="inlineStr">
        <is>
          <t>MALÅ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46315</v>
      </c>
      <c r="F138" t="inlineStr">
        <is>
          <t>VÄSTERBOTTENS LÄN</t>
        </is>
      </c>
      <c r="G138" t="inlineStr">
        <is>
          <t>MALÅ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45902</v>
      </c>
      <c r="E139" s="1" t="n">
        <v>46315</v>
      </c>
      <c r="F139" t="inlineStr">
        <is>
          <t>VÄSTERBOTTENS LÄN</t>
        </is>
      </c>
      <c r="G139" t="inlineStr">
        <is>
          <t>MALÅ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46315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45989</v>
      </c>
      <c r="E141" s="1" t="n">
        <v>46315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46315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46315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46315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46315</v>
      </c>
      <c r="F145" t="inlineStr">
        <is>
          <t>VÄSTERBOTTENS LÄN</t>
        </is>
      </c>
      <c r="G145" t="inlineStr">
        <is>
          <t>MALÅ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46315</v>
      </c>
      <c r="F146" t="inlineStr">
        <is>
          <t>VÄSTERBOTTENS LÄN</t>
        </is>
      </c>
      <c r="G146" t="inlineStr">
        <is>
          <t>MALÅ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46315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12.7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46315</v>
      </c>
      <c r="F148" t="inlineStr">
        <is>
          <t>VÄSTERBOTTENS LÄN</t>
        </is>
      </c>
      <c r="G148" t="inlineStr">
        <is>
          <t>MALÅ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46315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46315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30.8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46315</v>
      </c>
      <c r="F151" t="inlineStr">
        <is>
          <t>VÄSTERBOTTENS LÄN</t>
        </is>
      </c>
      <c r="G151" t="inlineStr">
        <is>
          <t>MALÅ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45170</v>
      </c>
      <c r="E152" s="1" t="n">
        <v>46315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18.2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46315</v>
      </c>
      <c r="F153" t="inlineStr">
        <is>
          <t>VÄSTERBOTTENS LÄN</t>
        </is>
      </c>
      <c r="G153" t="inlineStr">
        <is>
          <t>MALÅ</t>
        </is>
      </c>
      <c r="I153" t="n">
        <v>63.5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46315</v>
      </c>
      <c r="F154" t="inlineStr">
        <is>
          <t>VÄSTERBOTTENS LÄN</t>
        </is>
      </c>
      <c r="G154" t="inlineStr">
        <is>
          <t>MALÅ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46315</v>
      </c>
      <c r="F155" t="inlineStr">
        <is>
          <t>VÄSTERBOTTENS LÄN</t>
        </is>
      </c>
      <c r="G155" t="inlineStr">
        <is>
          <t>MALÅ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46315</v>
      </c>
      <c r="F156" t="inlineStr">
        <is>
          <t>VÄSTERBOTTENS LÄN</t>
        </is>
      </c>
      <c r="G156" t="inlineStr">
        <is>
          <t>MALÅ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44939</v>
      </c>
      <c r="E157" s="1" t="n">
        <v>46315</v>
      </c>
      <c r="F157" t="inlineStr">
        <is>
          <t>VÄSTERBOTTENS LÄN</t>
        </is>
      </c>
      <c r="G157" t="inlineStr">
        <is>
          <t>MALÅ</t>
        </is>
      </c>
      <c r="H157" t="inlineStr">
        <is>
          <t>SCA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46315</v>
      </c>
      <c r="F158" t="inlineStr">
        <is>
          <t>VÄSTERBOTTENS LÄN</t>
        </is>
      </c>
      <c r="G158" t="inlineStr">
        <is>
          <t>MALÅ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46027</v>
      </c>
      <c r="E159" s="1" t="n">
        <v>46315</v>
      </c>
      <c r="F159" t="inlineStr">
        <is>
          <t>VÄSTERBOTTENS LÄN</t>
        </is>
      </c>
      <c r="G159" t="inlineStr">
        <is>
          <t>MALÅ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46315</v>
      </c>
      <c r="F160" t="inlineStr">
        <is>
          <t>VÄSTERBOTTENS LÄN</t>
        </is>
      </c>
      <c r="G160" t="inlineStr">
        <is>
          <t>MALÅ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46315</v>
      </c>
      <c r="F161" t="inlineStr">
        <is>
          <t>VÄSTERBOTTENS LÄN</t>
        </is>
      </c>
      <c r="G161" t="inlineStr">
        <is>
          <t>MALÅ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46315</v>
      </c>
      <c r="F162" t="inlineStr">
        <is>
          <t>VÄSTERBOTTENS LÄN</t>
        </is>
      </c>
      <c r="G162" t="inlineStr">
        <is>
          <t>MALÅ</t>
        </is>
      </c>
      <c r="I162" t="n">
        <v>10.8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46315</v>
      </c>
      <c r="F163" t="inlineStr">
        <is>
          <t>VÄSTERBOTTENS LÄN</t>
        </is>
      </c>
      <c r="G163" t="inlineStr">
        <is>
          <t>MALÅ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46315</v>
      </c>
      <c r="F164" t="inlineStr">
        <is>
          <t>VÄSTERBOTTENS LÄN</t>
        </is>
      </c>
      <c r="G164" t="inlineStr">
        <is>
          <t>MALÅ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46315</v>
      </c>
      <c r="F165" t="inlineStr">
        <is>
          <t>VÄSTERBOTTENS LÄN</t>
        </is>
      </c>
      <c r="G165" t="inlineStr">
        <is>
          <t>MALÅ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46315</v>
      </c>
      <c r="F166" t="inlineStr">
        <is>
          <t>VÄSTERBOTTENS LÄN</t>
        </is>
      </c>
      <c r="G166" t="inlineStr">
        <is>
          <t>MALÅ</t>
        </is>
      </c>
      <c r="I166" t="n">
        <v>17.5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46315</v>
      </c>
      <c r="F167" t="inlineStr">
        <is>
          <t>VÄSTERBOTTENS LÄN</t>
        </is>
      </c>
      <c r="G167" t="inlineStr">
        <is>
          <t>MALÅ</t>
        </is>
      </c>
      <c r="H167" t="inlineStr">
        <is>
          <t>SCA</t>
        </is>
      </c>
      <c r="I167" t="n">
        <v>11.5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46315</v>
      </c>
      <c r="F168" t="inlineStr">
        <is>
          <t>VÄSTERBOTTENS LÄN</t>
        </is>
      </c>
      <c r="G168" t="inlineStr">
        <is>
          <t>MALÅ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45152</v>
      </c>
      <c r="E169" s="1" t="n">
        <v>46315</v>
      </c>
      <c r="F169" t="inlineStr">
        <is>
          <t>VÄSTERBOTTENS LÄN</t>
        </is>
      </c>
      <c r="G169" t="inlineStr">
        <is>
          <t>MALÅ</t>
        </is>
      </c>
      <c r="I169" t="n">
        <v>13.3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46315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37785-2023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45159</v>
      </c>
      <c r="E171" s="1" t="n">
        <v>46315</v>
      </c>
      <c r="F171" t="inlineStr">
        <is>
          <t>VÄSTERBOTTENS LÄN</t>
        </is>
      </c>
      <c r="G171" t="inlineStr">
        <is>
          <t>MALÅ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46315</v>
      </c>
      <c r="F172" t="inlineStr">
        <is>
          <t>VÄSTERBOTTENS LÄN</t>
        </is>
      </c>
      <c r="G172" t="inlineStr">
        <is>
          <t>MALÅ</t>
        </is>
      </c>
      <c r="H172" t="inlineStr">
        <is>
          <t>SCA</t>
        </is>
      </c>
      <c r="I172" t="n">
        <v>25.9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46315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14.7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3471-2026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46042</v>
      </c>
      <c r="E174" s="1" t="n">
        <v>46315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46315</v>
      </c>
      <c r="F175" t="inlineStr">
        <is>
          <t>VÄSTERBOTTENS LÄN</t>
        </is>
      </c>
      <c r="G175" t="inlineStr">
        <is>
          <t>MALÅ</t>
        </is>
      </c>
      <c r="I175" t="n">
        <v>13.3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45601</v>
      </c>
      <c r="E176" s="1" t="n">
        <v>46315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46315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45190</v>
      </c>
      <c r="E178" s="1" t="n">
        <v>46315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46315</v>
      </c>
      <c r="F179" t="inlineStr">
        <is>
          <t>VÄSTERBOTTENS LÄN</t>
        </is>
      </c>
      <c r="G179" t="inlineStr">
        <is>
          <t>MALÅ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46315</v>
      </c>
      <c r="F180" t="inlineStr">
        <is>
          <t>VÄSTERBOTTENS LÄN</t>
        </is>
      </c>
      <c r="G180" t="inlineStr">
        <is>
          <t>MALÅ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45193</v>
      </c>
      <c r="E181" s="1" t="n">
        <v>46315</v>
      </c>
      <c r="F181" t="inlineStr">
        <is>
          <t>VÄSTERBOTTENS LÄN</t>
        </is>
      </c>
      <c r="G181" t="inlineStr">
        <is>
          <t>MALÅ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45193</v>
      </c>
      <c r="E182" s="1" t="n">
        <v>46315</v>
      </c>
      <c r="F182" t="inlineStr">
        <is>
          <t>VÄSTERBOTTENS LÄN</t>
        </is>
      </c>
      <c r="G182" t="inlineStr">
        <is>
          <t>MALÅ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46315</v>
      </c>
      <c r="F183" t="inlineStr">
        <is>
          <t>VÄSTERBOTTENS LÄN</t>
        </is>
      </c>
      <c r="G183" t="inlineStr">
        <is>
          <t>MALÅ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45196</v>
      </c>
      <c r="E184" s="1" t="n">
        <v>46315</v>
      </c>
      <c r="F184" t="inlineStr">
        <is>
          <t>VÄSTERBOTTENS LÄN</t>
        </is>
      </c>
      <c r="G184" t="inlineStr">
        <is>
          <t>MALÅ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46315</v>
      </c>
      <c r="F185" t="inlineStr">
        <is>
          <t>VÄSTERBOTTENS LÄN</t>
        </is>
      </c>
      <c r="G185" t="inlineStr">
        <is>
          <t>MALÅ</t>
        </is>
      </c>
      <c r="I185" t="n">
        <v>10.5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46315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45204</v>
      </c>
      <c r="E187" s="1" t="n">
        <v>46315</v>
      </c>
      <c r="F187" t="inlineStr">
        <is>
          <t>VÄSTERBOTTENS LÄN</t>
        </is>
      </c>
      <c r="G187" t="inlineStr">
        <is>
          <t>MALÅ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45193</v>
      </c>
      <c r="E188" s="1" t="n">
        <v>46315</v>
      </c>
      <c r="F188" t="inlineStr">
        <is>
          <t>VÄSTERBOTTENS LÄN</t>
        </is>
      </c>
      <c r="G188" t="inlineStr">
        <is>
          <t>MALÅ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45625</v>
      </c>
      <c r="E189" s="1" t="n">
        <v>46315</v>
      </c>
      <c r="F189" t="inlineStr">
        <is>
          <t>VÄSTERBOTTENS LÄN</t>
        </is>
      </c>
      <c r="G189" t="inlineStr">
        <is>
          <t>MALÅ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46315</v>
      </c>
      <c r="F190" t="inlineStr">
        <is>
          <t>VÄSTERBOTTENS LÄN</t>
        </is>
      </c>
      <c r="G190" t="inlineStr">
        <is>
          <t>MALÅ</t>
        </is>
      </c>
      <c r="I190" t="n">
        <v>16.2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46315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45195</v>
      </c>
      <c r="E192" s="1" t="n">
        <v>46315</v>
      </c>
      <c r="F192" t="inlineStr">
        <is>
          <t>VÄSTERBOTTENS LÄN</t>
        </is>
      </c>
      <c r="G192" t="inlineStr">
        <is>
          <t>MALÅ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46315</v>
      </c>
      <c r="F193" t="inlineStr">
        <is>
          <t>VÄSTERBOTTENS LÄN</t>
        </is>
      </c>
      <c r="G193" t="inlineStr">
        <is>
          <t>MALÅ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46315</v>
      </c>
      <c r="F194" t="inlineStr">
        <is>
          <t>VÄSTERBOTTENS LÄN</t>
        </is>
      </c>
      <c r="G194" t="inlineStr">
        <is>
          <t>MALÅ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8648-2026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46066</v>
      </c>
      <c r="E195" s="1" t="n">
        <v>46315</v>
      </c>
      <c r="F195" t="inlineStr">
        <is>
          <t>VÄSTERBOTTENS LÄN</t>
        </is>
      </c>
      <c r="G195" t="inlineStr">
        <is>
          <t>MALÅ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46315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46315</v>
      </c>
      <c r="F197" t="inlineStr">
        <is>
          <t>VÄSTERBOTTENS LÄN</t>
        </is>
      </c>
      <c r="G197" t="inlineStr">
        <is>
          <t>MALÅ</t>
        </is>
      </c>
      <c r="H197" t="inlineStr">
        <is>
          <t>SCA</t>
        </is>
      </c>
      <c r="I197" t="n">
        <v>10.2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46315</v>
      </c>
      <c r="F198" t="inlineStr">
        <is>
          <t>VÄSTERBOTTENS LÄN</t>
        </is>
      </c>
      <c r="G198" t="inlineStr">
        <is>
          <t>MALÅ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32767-2024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45516</v>
      </c>
      <c r="E199" s="1" t="n">
        <v>46315</v>
      </c>
      <c r="F199" t="inlineStr">
        <is>
          <t>VÄSTERBOTTENS LÄN</t>
        </is>
      </c>
      <c r="G199" t="inlineStr">
        <is>
          <t>MALÅ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46315</v>
      </c>
      <c r="F200" t="inlineStr">
        <is>
          <t>VÄSTERBOTTENS LÄN</t>
        </is>
      </c>
      <c r="G200" t="inlineStr">
        <is>
          <t>MALÅ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45232</v>
      </c>
      <c r="E201" s="1" t="n">
        <v>46315</v>
      </c>
      <c r="F201" t="inlineStr">
        <is>
          <t>VÄSTERBOTTENS LÄN</t>
        </is>
      </c>
      <c r="G201" t="inlineStr">
        <is>
          <t>MALÅ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46315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46072</v>
      </c>
      <c r="E203" s="1" t="n">
        <v>46315</v>
      </c>
      <c r="F203" t="inlineStr">
        <is>
          <t>VÄSTERBOTTENS LÄN</t>
        </is>
      </c>
      <c r="G203" t="inlineStr">
        <is>
          <t>MALÅ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45223</v>
      </c>
      <c r="E204" s="1" t="n">
        <v>46315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46315</v>
      </c>
      <c r="F205" t="inlineStr">
        <is>
          <t>VÄSTERBOTTENS LÄN</t>
        </is>
      </c>
      <c r="G205" t="inlineStr">
        <is>
          <t>MALÅ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46315</v>
      </c>
      <c r="F206" t="inlineStr">
        <is>
          <t>VÄSTERBOTTENS LÄN</t>
        </is>
      </c>
      <c r="G206" t="inlineStr">
        <is>
          <t>MALÅ</t>
        </is>
      </c>
      <c r="H206" t="inlineStr">
        <is>
          <t>Kyrkan</t>
        </is>
      </c>
      <c r="I206" t="n">
        <v>27.3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46315</v>
      </c>
      <c r="F207" t="inlineStr">
        <is>
          <t>VÄSTERBOTTENS LÄN</t>
        </is>
      </c>
      <c r="G207" t="inlineStr">
        <is>
          <t>MALÅ</t>
        </is>
      </c>
      <c r="H207" t="inlineStr">
        <is>
          <t>Kyrkan</t>
        </is>
      </c>
      <c r="I207" t="n">
        <v>84.5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46315</v>
      </c>
      <c r="F208" t="inlineStr">
        <is>
          <t>VÄSTERBOTTENS LÄN</t>
        </is>
      </c>
      <c r="G208" t="inlineStr">
        <is>
          <t>MALÅ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45225</v>
      </c>
      <c r="E209" s="1" t="n">
        <v>46315</v>
      </c>
      <c r="F209" t="inlineStr">
        <is>
          <t>VÄSTERBOTTENS LÄN</t>
        </is>
      </c>
      <c r="G209" t="inlineStr">
        <is>
          <t>MALÅ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45174</v>
      </c>
      <c r="E210" s="1" t="n">
        <v>46315</v>
      </c>
      <c r="F210" t="inlineStr">
        <is>
          <t>VÄSTERBOTTENS LÄN</t>
        </is>
      </c>
      <c r="G210" t="inlineStr">
        <is>
          <t>MALÅ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46315</v>
      </c>
      <c r="F211" t="inlineStr">
        <is>
          <t>VÄSTERBOTTENS LÄN</t>
        </is>
      </c>
      <c r="G211" t="inlineStr">
        <is>
          <t>MALÅ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45149</v>
      </c>
      <c r="E212" s="1" t="n">
        <v>46315</v>
      </c>
      <c r="F212" t="inlineStr">
        <is>
          <t>VÄSTERBOTTENS LÄN</t>
        </is>
      </c>
      <c r="G212" t="inlineStr">
        <is>
          <t>MALÅ</t>
        </is>
      </c>
      <c r="I212" t="n">
        <v>147.1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46315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46315</v>
      </c>
      <c r="F214" t="inlineStr">
        <is>
          <t>VÄSTERBOTTENS LÄN</t>
        </is>
      </c>
      <c r="G214" t="inlineStr">
        <is>
          <t>MALÅ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46189</v>
      </c>
      <c r="E215" s="1" t="n">
        <v>46315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46189</v>
      </c>
      <c r="E216" s="1" t="n">
        <v>46315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46189</v>
      </c>
      <c r="E217" s="1" t="n">
        <v>46315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46315</v>
      </c>
      <c r="F218" t="inlineStr">
        <is>
          <t>VÄSTERBOTTENS LÄN</t>
        </is>
      </c>
      <c r="G218" t="inlineStr">
        <is>
          <t>MALÅ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46189</v>
      </c>
      <c r="E219" s="1" t="n">
        <v>46315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46315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23.5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46097</v>
      </c>
      <c r="E221" s="1" t="n">
        <v>46315</v>
      </c>
      <c r="F221" t="inlineStr">
        <is>
          <t>VÄSTERBOTTENS LÄN</t>
        </is>
      </c>
      <c r="G221" t="inlineStr">
        <is>
          <t>MALÅ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13775-2026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46097</v>
      </c>
      <c r="E222" s="1" t="n">
        <v>46315</v>
      </c>
      <c r="F222" t="inlineStr">
        <is>
          <t>VÄSTERBOTTENS LÄN</t>
        </is>
      </c>
      <c r="G222" t="inlineStr">
        <is>
          <t>MALÅ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45741</v>
      </c>
      <c r="E223" s="1" t="n">
        <v>46315</v>
      </c>
      <c r="F223" t="inlineStr">
        <is>
          <t>VÄSTERBOTTENS LÄN</t>
        </is>
      </c>
      <c r="G223" t="inlineStr">
        <is>
          <t>MALÅ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45267</v>
      </c>
      <c r="E224" s="1" t="n">
        <v>46315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29024-2026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46196</v>
      </c>
      <c r="E225" s="1" t="n">
        <v>46315</v>
      </c>
      <c r="F225" t="inlineStr">
        <is>
          <t>VÄSTERBOTTENS LÄN</t>
        </is>
      </c>
      <c r="G225" t="inlineStr">
        <is>
          <t>MALÅ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46196</v>
      </c>
      <c r="E226" s="1" t="n">
        <v>46315</v>
      </c>
      <c r="F226" t="inlineStr">
        <is>
          <t>VÄSTERBOTTENS LÄN</t>
        </is>
      </c>
      <c r="G226" t="inlineStr">
        <is>
          <t>MALÅ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45369</v>
      </c>
      <c r="E227" s="1" t="n">
        <v>46315</v>
      </c>
      <c r="F227" t="inlineStr">
        <is>
          <t>VÄSTERBOTTENS LÄN</t>
        </is>
      </c>
      <c r="G227" t="inlineStr">
        <is>
          <t>MALÅ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46315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15286-2026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46315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46315</v>
      </c>
      <c r="F230" t="inlineStr">
        <is>
          <t>VÄSTERBOTTENS LÄN</t>
        </is>
      </c>
      <c r="G230" t="inlineStr">
        <is>
          <t>MALÅ</t>
        </is>
      </c>
      <c r="H230" t="inlineStr">
        <is>
          <t>SCA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17020-2026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46114</v>
      </c>
      <c r="E231" s="1" t="n">
        <v>46315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19.7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44575</v>
      </c>
      <c r="E232" s="1" t="n">
        <v>46315</v>
      </c>
      <c r="F232" t="inlineStr">
        <is>
          <t>VÄSTERBOTTENS LÄN</t>
        </is>
      </c>
      <c r="G232" t="inlineStr">
        <is>
          <t>MALÅ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46315</v>
      </c>
      <c r="F233" t="inlineStr">
        <is>
          <t>VÄSTERBOTTENS LÄN</t>
        </is>
      </c>
      <c r="G233" t="inlineStr">
        <is>
          <t>MALÅ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44967</v>
      </c>
      <c r="E234" s="1" t="n">
        <v>46315</v>
      </c>
      <c r="F234" t="inlineStr">
        <is>
          <t>VÄSTERBOTTENS LÄN</t>
        </is>
      </c>
      <c r="G234" t="inlineStr">
        <is>
          <t>MALÅ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46315</v>
      </c>
      <c r="F235" t="inlineStr">
        <is>
          <t>VÄSTERBOTTENS LÄN</t>
        </is>
      </c>
      <c r="G235" t="inlineStr">
        <is>
          <t>MALÅ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46315</v>
      </c>
      <c r="F236" t="inlineStr">
        <is>
          <t>VÄSTERBOTTENS LÄN</t>
        </is>
      </c>
      <c r="G236" t="inlineStr">
        <is>
          <t>MALÅ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46315</v>
      </c>
      <c r="F237" t="inlineStr">
        <is>
          <t>VÄSTERBOTTENS LÄN</t>
        </is>
      </c>
      <c r="G237" t="inlineStr">
        <is>
          <t>MALÅ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46315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46315</v>
      </c>
      <c r="F239" t="inlineStr">
        <is>
          <t>VÄSTERBOTTENS LÄN</t>
        </is>
      </c>
      <c r="G239" t="inlineStr">
        <is>
          <t>MALÅ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46315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55.9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46315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45520</v>
      </c>
      <c r="E242" s="1" t="n">
        <v>46315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46315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46315</v>
      </c>
      <c r="F244" t="inlineStr">
        <is>
          <t>VÄSTERBOTTENS LÄN</t>
        </is>
      </c>
      <c r="G244" t="inlineStr">
        <is>
          <t>MALÅ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46315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37.2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45166</v>
      </c>
      <c r="E246" s="1" t="n">
        <v>46315</v>
      </c>
      <c r="F246" t="inlineStr">
        <is>
          <t>VÄSTERBOTTENS LÄN</t>
        </is>
      </c>
      <c r="G246" t="inlineStr">
        <is>
          <t>MALÅ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46315</v>
      </c>
      <c r="F247" t="inlineStr">
        <is>
          <t>VÄSTERBOTTENS LÄN</t>
        </is>
      </c>
      <c r="G247" t="inlineStr">
        <is>
          <t>MALÅ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68036-2021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44525</v>
      </c>
      <c r="E248" s="1" t="n">
        <v>46315</v>
      </c>
      <c r="F248" t="inlineStr">
        <is>
          <t>VÄSTERBOTTENS LÄN</t>
        </is>
      </c>
      <c r="G248" t="inlineStr">
        <is>
          <t>MALÅ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45540</v>
      </c>
      <c r="E249" s="1" t="n">
        <v>46315</v>
      </c>
      <c r="F249" t="inlineStr">
        <is>
          <t>VÄSTERBOTTENS LÄN</t>
        </is>
      </c>
      <c r="G249" t="inlineStr">
        <is>
          <t>MALÅ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46210</v>
      </c>
      <c r="E250" s="1" t="n">
        <v>46315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45158</v>
      </c>
      <c r="E251" s="1" t="n">
        <v>46315</v>
      </c>
      <c r="F251" t="inlineStr">
        <is>
          <t>VÄSTERBOTTENS LÄN</t>
        </is>
      </c>
      <c r="G251" t="inlineStr">
        <is>
          <t>MALÅ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46315</v>
      </c>
      <c r="F252" t="inlineStr">
        <is>
          <t>VÄSTERBOTTENS LÄN</t>
        </is>
      </c>
      <c r="G252" t="inlineStr">
        <is>
          <t>MALÅ</t>
        </is>
      </c>
      <c r="I252" t="n">
        <v>41.2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46315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46223</v>
      </c>
      <c r="E254" s="1" t="n">
        <v>46315</v>
      </c>
      <c r="F254" t="inlineStr">
        <is>
          <t>VÄSTERBOTTENS LÄN</t>
        </is>
      </c>
      <c r="G254" t="inlineStr">
        <is>
          <t>MALÅ</t>
        </is>
      </c>
      <c r="H254" t="inlineStr">
        <is>
          <t>SCA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46223</v>
      </c>
      <c r="E255" s="1" t="n">
        <v>46315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46315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23.4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26853-2026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46185</v>
      </c>
      <c r="E257" s="1" t="n">
        <v>46315</v>
      </c>
      <c r="F257" t="inlineStr">
        <is>
          <t>VÄSTERBOTTENS LÄN</t>
        </is>
      </c>
      <c r="G257" t="inlineStr">
        <is>
          <t>MALÅ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46315</v>
      </c>
      <c r="F258" t="inlineStr">
        <is>
          <t>VÄSTERBOTTENS LÄN</t>
        </is>
      </c>
      <c r="G258" t="inlineStr">
        <is>
          <t>MALÅ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45171</v>
      </c>
      <c r="E259" s="1" t="n">
        <v>46315</v>
      </c>
      <c r="F259" t="inlineStr">
        <is>
          <t>VÄSTERBOTTENS LÄN</t>
        </is>
      </c>
      <c r="G259" t="inlineStr">
        <is>
          <t>MALÅ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46315</v>
      </c>
      <c r="F260" t="inlineStr">
        <is>
          <t>VÄSTERBOTTENS LÄN</t>
        </is>
      </c>
      <c r="G260" t="inlineStr">
        <is>
          <t>MALÅ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45168</v>
      </c>
      <c r="E261" s="1" t="n">
        <v>46315</v>
      </c>
      <c r="F261" t="inlineStr">
        <is>
          <t>VÄSTERBOTTENS LÄN</t>
        </is>
      </c>
      <c r="G261" t="inlineStr">
        <is>
          <t>MALÅ</t>
        </is>
      </c>
      <c r="I261" t="n">
        <v>27.9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46315</v>
      </c>
      <c r="F262" t="inlineStr">
        <is>
          <t>VÄSTERBOTTENS LÄN</t>
        </is>
      </c>
      <c r="G262" t="inlineStr">
        <is>
          <t>MALÅ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46315</v>
      </c>
      <c r="F263" t="inlineStr">
        <is>
          <t>VÄSTERBOTTENS LÄN</t>
        </is>
      </c>
      <c r="G263" t="inlineStr">
        <is>
          <t>MALÅ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46276</v>
      </c>
      <c r="E264" s="1" t="n">
        <v>46315</v>
      </c>
      <c r="F264" t="inlineStr">
        <is>
          <t>VÄSTERBOTTENS LÄN</t>
        </is>
      </c>
      <c r="G264" t="inlineStr">
        <is>
          <t>MALÅ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45236</v>
      </c>
      <c r="E265" s="1" t="n">
        <v>46315</v>
      </c>
      <c r="F265" t="inlineStr">
        <is>
          <t>VÄSTERBOTTENS LÄN</t>
        </is>
      </c>
      <c r="G265" t="inlineStr">
        <is>
          <t>MALÅ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46276</v>
      </c>
      <c r="E266" s="1" t="n">
        <v>46315</v>
      </c>
      <c r="F266" t="inlineStr">
        <is>
          <t>VÄSTERBOTTENS LÄN</t>
        </is>
      </c>
      <c r="G266" t="inlineStr">
        <is>
          <t>MALÅ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46276</v>
      </c>
      <c r="E267" s="1" t="n">
        <v>46315</v>
      </c>
      <c r="F267" t="inlineStr">
        <is>
          <t>VÄSTERBOTTENS LÄN</t>
        </is>
      </c>
      <c r="G267" t="inlineStr">
        <is>
          <t>MALÅ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46315</v>
      </c>
      <c r="F268" t="inlineStr">
        <is>
          <t>VÄSTERBOTTENS LÄN</t>
        </is>
      </c>
      <c r="G268" t="inlineStr">
        <is>
          <t>MALÅ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46315</v>
      </c>
      <c r="F269" t="inlineStr">
        <is>
          <t>VÄSTERBOTTENS LÄN</t>
        </is>
      </c>
      <c r="G269" t="inlineStr">
        <is>
          <t>MALÅ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46232</v>
      </c>
      <c r="E270" s="1" t="n">
        <v>46315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46279</v>
      </c>
      <c r="E271" s="1" t="n">
        <v>46315</v>
      </c>
      <c r="F271" t="inlineStr">
        <is>
          <t>VÄSTERBOTTENS LÄN</t>
        </is>
      </c>
      <c r="G271" t="inlineStr">
        <is>
          <t>MALÅ</t>
        </is>
      </c>
      <c r="H271" t="inlineStr">
        <is>
          <t>SCA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46315</v>
      </c>
      <c r="F272" t="inlineStr">
        <is>
          <t>VÄSTERBOTTENS LÄN</t>
        </is>
      </c>
      <c r="G272" t="inlineStr">
        <is>
          <t>MALÅ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44426-2023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45188</v>
      </c>
      <c r="E273" s="1" t="n">
        <v>46315</v>
      </c>
      <c r="F273" t="inlineStr">
        <is>
          <t>VÄSTERBOTTENS LÄN</t>
        </is>
      </c>
      <c r="G273" t="inlineStr">
        <is>
          <t>MALÅ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46315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45166</v>
      </c>
      <c r="E275" s="1" t="n">
        <v>46315</v>
      </c>
      <c r="F275" t="inlineStr">
        <is>
          <t>VÄSTERBOTTENS LÄN</t>
        </is>
      </c>
      <c r="G275" t="inlineStr">
        <is>
          <t>MALÅ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46315</v>
      </c>
      <c r="F276" t="inlineStr">
        <is>
          <t>VÄSTERBOTTENS LÄN</t>
        </is>
      </c>
      <c r="G276" t="inlineStr">
        <is>
          <t>MALÅ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67679-2021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46315</v>
      </c>
      <c r="F277" t="inlineStr">
        <is>
          <t>VÄSTERBOTTENS LÄN</t>
        </is>
      </c>
      <c r="G277" t="inlineStr">
        <is>
          <t>MALÅ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45170</v>
      </c>
      <c r="E278" s="1" t="n">
        <v>46315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46315</v>
      </c>
      <c r="F279" t="inlineStr">
        <is>
          <t>VÄSTERBOTTENS LÄN</t>
        </is>
      </c>
      <c r="G279" t="inlineStr">
        <is>
          <t>MALÅ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46315</v>
      </c>
      <c r="F280" t="inlineStr">
        <is>
          <t>VÄSTERBOTTENS LÄN</t>
        </is>
      </c>
      <c r="G280" t="inlineStr">
        <is>
          <t>MALÅ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46315</v>
      </c>
      <c r="F281" t="inlineStr">
        <is>
          <t>VÄSTERBOTTENS LÄN</t>
        </is>
      </c>
      <c r="G281" t="inlineStr">
        <is>
          <t>MALÅ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46315</v>
      </c>
      <c r="F282" t="inlineStr">
        <is>
          <t>VÄSTERBOTTENS LÄN</t>
        </is>
      </c>
      <c r="G282" t="inlineStr">
        <is>
          <t>MALÅ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45667</v>
      </c>
      <c r="E283" s="1" t="n">
        <v>46315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45595</v>
      </c>
      <c r="E284" s="1" t="n">
        <v>46315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46315</v>
      </c>
      <c r="F285" t="inlineStr">
        <is>
          <t>VÄSTERBOTTENS LÄN</t>
        </is>
      </c>
      <c r="G285" t="inlineStr">
        <is>
          <t>MALÅ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45233</v>
      </c>
      <c r="E286" s="1" t="n">
        <v>46315</v>
      </c>
      <c r="F286" t="inlineStr">
        <is>
          <t>VÄSTERBOTTENS LÄN</t>
        </is>
      </c>
      <c r="G286" t="inlineStr">
        <is>
          <t>MALÅ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45178</v>
      </c>
      <c r="E287" s="1" t="n">
        <v>46315</v>
      </c>
      <c r="F287" t="inlineStr">
        <is>
          <t>VÄSTERBOTTENS LÄN</t>
        </is>
      </c>
      <c r="G287" t="inlineStr">
        <is>
          <t>MALÅ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46265</v>
      </c>
      <c r="E288" s="1" t="n">
        <v>46315</v>
      </c>
      <c r="F288" t="inlineStr">
        <is>
          <t>VÄSTERBOTTENS LÄN</t>
        </is>
      </c>
      <c r="G288" t="inlineStr">
        <is>
          <t>MALÅ</t>
        </is>
      </c>
      <c r="H288" t="inlineStr">
        <is>
          <t>SCA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45203</v>
      </c>
      <c r="E289" s="1" t="n">
        <v>46315</v>
      </c>
      <c r="F289" t="inlineStr">
        <is>
          <t>VÄSTERBOTTENS LÄN</t>
        </is>
      </c>
      <c r="G289" t="inlineStr">
        <is>
          <t>MALÅ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46315</v>
      </c>
      <c r="F290" t="inlineStr">
        <is>
          <t>VÄSTERBOTTENS LÄN</t>
        </is>
      </c>
      <c r="G290" t="inlineStr">
        <is>
          <t>MALÅ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46289</v>
      </c>
      <c r="E291" s="1" t="n">
        <v>46315</v>
      </c>
      <c r="F291" t="inlineStr">
        <is>
          <t>VÄSTERBOTTENS LÄN</t>
        </is>
      </c>
      <c r="G291" t="inlineStr">
        <is>
          <t>MALÅ</t>
        </is>
      </c>
      <c r="H291" t="inlineStr">
        <is>
          <t>SCA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46289</v>
      </c>
      <c r="E292" s="1" t="n">
        <v>46315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39657-2026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46289</v>
      </c>
      <c r="E293" s="1" t="n">
        <v>46315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8.199999999999999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45987</v>
      </c>
      <c r="E294" s="1" t="n">
        <v>46315</v>
      </c>
      <c r="F294" t="inlineStr">
        <is>
          <t>VÄSTERBOTTENS LÄN</t>
        </is>
      </c>
      <c r="G294" t="inlineStr">
        <is>
          <t>MALÅ</t>
        </is>
      </c>
      <c r="I294" t="n">
        <v>19.2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46289</v>
      </c>
      <c r="E295" s="1" t="n">
        <v>46315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46315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46248</v>
      </c>
      <c r="E297" s="1" t="n">
        <v>46315</v>
      </c>
      <c r="F297" t="inlineStr">
        <is>
          <t>VÄSTERBOTTENS LÄN</t>
        </is>
      </c>
      <c r="G297" t="inlineStr">
        <is>
          <t>MALÅ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46246</v>
      </c>
      <c r="E298" s="1" t="n">
        <v>46315</v>
      </c>
      <c r="F298" t="inlineStr">
        <is>
          <t>VÄSTERBOTTENS LÄN</t>
        </is>
      </c>
      <c r="G298" t="inlineStr">
        <is>
          <t>MALÅ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45227</v>
      </c>
      <c r="E299" s="1" t="n">
        <v>46315</v>
      </c>
      <c r="F299" t="inlineStr">
        <is>
          <t>VÄSTERBOTTENS LÄN</t>
        </is>
      </c>
      <c r="G299" t="inlineStr">
        <is>
          <t>MALÅ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46315</v>
      </c>
      <c r="F300" t="inlineStr">
        <is>
          <t>VÄSTERBOTTENS LÄN</t>
        </is>
      </c>
      <c r="G300" t="inlineStr">
        <is>
          <t>MALÅ</t>
        </is>
      </c>
      <c r="I300" t="n">
        <v>8.5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46315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46315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46315</v>
      </c>
      <c r="F303" t="inlineStr">
        <is>
          <t>VÄSTERBOTTENS LÄN</t>
        </is>
      </c>
      <c r="G303" t="inlineStr">
        <is>
          <t>MALÅ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46315</v>
      </c>
      <c r="F304" t="inlineStr">
        <is>
          <t>VÄSTERBOTTENS LÄN</t>
        </is>
      </c>
      <c r="G304" t="inlineStr">
        <is>
          <t>MALÅ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44911</v>
      </c>
      <c r="E305" s="1" t="n">
        <v>46315</v>
      </c>
      <c r="F305" t="inlineStr">
        <is>
          <t>VÄSTERBOTTENS LÄN</t>
        </is>
      </c>
      <c r="G305" t="inlineStr">
        <is>
          <t>MALÅ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46251</v>
      </c>
      <c r="E306" s="1" t="n">
        <v>46315</v>
      </c>
      <c r="F306" t="inlineStr">
        <is>
          <t>VÄSTERBOTTENS LÄN</t>
        </is>
      </c>
      <c r="G306" t="inlineStr">
        <is>
          <t>MALÅ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45111</v>
      </c>
      <c r="E307" s="1" t="n">
        <v>46315</v>
      </c>
      <c r="F307" t="inlineStr">
        <is>
          <t>VÄSTERBOTTENS LÄN</t>
        </is>
      </c>
      <c r="G307" t="inlineStr">
        <is>
          <t>MALÅ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46253</v>
      </c>
      <c r="E308" s="1" t="n">
        <v>46315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46315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45175</v>
      </c>
      <c r="E310" s="1" t="n">
        <v>46315</v>
      </c>
      <c r="F310" t="inlineStr">
        <is>
          <t>VÄSTERBOTTENS LÄN</t>
        </is>
      </c>
      <c r="G310" t="inlineStr">
        <is>
          <t>MALÅ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46315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46315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46315</v>
      </c>
      <c r="F313" t="inlineStr">
        <is>
          <t>VÄSTERBOTTENS LÄN</t>
        </is>
      </c>
      <c r="G313" t="inlineStr">
        <is>
          <t>MALÅ</t>
        </is>
      </c>
      <c r="I313" t="n">
        <v>30.4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46315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46315</v>
      </c>
      <c r="F315" t="inlineStr">
        <is>
          <t>VÄSTERBOTTENS LÄN</t>
        </is>
      </c>
      <c r="G315" t="inlineStr">
        <is>
          <t>MALÅ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29450-2024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45483</v>
      </c>
      <c r="E316" s="1" t="n">
        <v>46315</v>
      </c>
      <c r="F316" t="inlineStr">
        <is>
          <t>VÄSTERBOTTENS LÄN</t>
        </is>
      </c>
      <c r="G316" t="inlineStr">
        <is>
          <t>MALÅ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45152</v>
      </c>
      <c r="E317" s="1" t="n">
        <v>46315</v>
      </c>
      <c r="F317" t="inlineStr">
        <is>
          <t>VÄSTERBOTTENS LÄN</t>
        </is>
      </c>
      <c r="G317" t="inlineStr">
        <is>
          <t>MALÅ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58894-2025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45987</v>
      </c>
      <c r="E318" s="1" t="n">
        <v>46315</v>
      </c>
      <c r="F318" t="inlineStr">
        <is>
          <t>VÄSTERBOTTENS LÄN</t>
        </is>
      </c>
      <c r="G318" t="inlineStr">
        <is>
          <t>MALÅ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46315</v>
      </c>
      <c r="F319" t="inlineStr">
        <is>
          <t>VÄSTERBOTTENS LÄN</t>
        </is>
      </c>
      <c r="G319" t="inlineStr">
        <is>
          <t>MALÅ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46246</v>
      </c>
      <c r="E320" s="1" t="n">
        <v>46315</v>
      </c>
      <c r="F320" t="inlineStr">
        <is>
          <t>VÄSTERBOTTENS LÄN</t>
        </is>
      </c>
      <c r="G320" t="inlineStr">
        <is>
          <t>MALÅ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46315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18.4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46315</v>
      </c>
      <c r="F322" t="inlineStr">
        <is>
          <t>VÄSTERBOTTENS LÄN</t>
        </is>
      </c>
      <c r="G322" t="inlineStr">
        <is>
          <t>MALÅ</t>
        </is>
      </c>
      <c r="I322" t="n">
        <v>10.2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59801-2021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44491</v>
      </c>
      <c r="E323" s="1" t="n">
        <v>46315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67383-2021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44523</v>
      </c>
      <c r="E324" s="1" t="n">
        <v>46315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46315</v>
      </c>
      <c r="F325" t="inlineStr">
        <is>
          <t>VÄSTERBOTTENS LÄN</t>
        </is>
      </c>
      <c r="G325" t="inlineStr">
        <is>
          <t>MALÅ</t>
        </is>
      </c>
      <c r="I325" t="n">
        <v>15.5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46315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46315</v>
      </c>
      <c r="F327" t="inlineStr">
        <is>
          <t>VÄSTERBOTTENS LÄN</t>
        </is>
      </c>
      <c r="G327" t="inlineStr">
        <is>
          <t>MALÅ</t>
        </is>
      </c>
      <c r="I327" t="n">
        <v>22.9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46315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46315</v>
      </c>
      <c r="F329" t="inlineStr">
        <is>
          <t>VÄSTERBOTTENS LÄN</t>
        </is>
      </c>
      <c r="G329" t="inlineStr">
        <is>
          <t>MALÅ</t>
        </is>
      </c>
      <c r="I329" t="n">
        <v>16.6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46315</v>
      </c>
      <c r="F330" t="inlineStr">
        <is>
          <t>VÄSTERBOTTENS LÄN</t>
        </is>
      </c>
      <c r="G330" t="inlineStr">
        <is>
          <t>MALÅ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46315</v>
      </c>
      <c r="F331" t="inlineStr">
        <is>
          <t>VÄSTERBOTTENS LÄN</t>
        </is>
      </c>
      <c r="G331" t="inlineStr">
        <is>
          <t>MALÅ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46315</v>
      </c>
      <c r="F332" t="inlineStr">
        <is>
          <t>VÄSTERBOTTENS LÄN</t>
        </is>
      </c>
      <c r="G332" t="inlineStr">
        <is>
          <t>MALÅ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46315</v>
      </c>
      <c r="F333" t="inlineStr">
        <is>
          <t>VÄSTERBOTTENS LÄN</t>
        </is>
      </c>
      <c r="G333" t="inlineStr">
        <is>
          <t>MALÅ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44740</v>
      </c>
      <c r="E334" s="1" t="n">
        <v>46315</v>
      </c>
      <c r="F334" t="inlineStr">
        <is>
          <t>VÄSTERBOTTENS LÄN</t>
        </is>
      </c>
      <c r="G334" t="inlineStr">
        <is>
          <t>MALÅ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46260</v>
      </c>
      <c r="E335" s="1" t="n">
        <v>46315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46315</v>
      </c>
      <c r="F336" t="inlineStr">
        <is>
          <t>VÄSTERBOTTENS LÄN</t>
        </is>
      </c>
      <c r="G336" t="inlineStr">
        <is>
          <t>MALÅ</t>
        </is>
      </c>
      <c r="I336" t="n">
        <v>8.300000000000001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45589</v>
      </c>
      <c r="E337" s="1" t="n">
        <v>46315</v>
      </c>
      <c r="F337" t="inlineStr">
        <is>
          <t>VÄSTERBOTTENS LÄN</t>
        </is>
      </c>
      <c r="G337" t="inlineStr">
        <is>
          <t>MALÅ</t>
        </is>
      </c>
      <c r="H337" t="inlineStr">
        <is>
          <t>SCA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46310</v>
      </c>
      <c r="E338" s="1" t="n">
        <v>46315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46310</v>
      </c>
      <c r="E339" s="1" t="n">
        <v>46315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42675-2026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46309</v>
      </c>
      <c r="E340" s="1" t="n">
        <v>46315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43355-2026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46314</v>
      </c>
      <c r="E341" s="1" t="n">
        <v>46315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45860</v>
      </c>
      <c r="E342" s="1" t="n">
        <v>46315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45860</v>
      </c>
      <c r="E343" s="1" t="n">
        <v>46315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14.7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45861</v>
      </c>
      <c r="E344" s="1" t="n">
        <v>46315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45861</v>
      </c>
      <c r="E345" s="1" t="n">
        <v>46315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45861</v>
      </c>
      <c r="E346" s="1" t="n">
        <v>46315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45861</v>
      </c>
      <c r="E347" s="1" t="n">
        <v>46315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46315</v>
      </c>
      <c r="F348" t="inlineStr">
        <is>
          <t>VÄSTERBOTTENS LÄN</t>
        </is>
      </c>
      <c r="G348" t="inlineStr">
        <is>
          <t>MALÅ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46315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2026-10-20T01:53:38Z</dcterms:created>
  <dcterms:modified xmlns:dcterms="http://purl.org/dc/terms/" xmlns:xsi="http://www.w3.org/2001/XMLSchema-instance" xsi:type="dcterms:W3CDTF">2026-10-20T01:53:39Z</dcterms:modified>
</cp:coreProperties>
</file>