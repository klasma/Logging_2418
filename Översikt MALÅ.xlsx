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46320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46320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42818-2026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46309</v>
      </c>
      <c r="E4" s="1" t="n">
        <v>46320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19.8</v>
      </c>
      <c r="J4" t="n">
        <v>1</v>
      </c>
      <c r="K4" t="n">
        <v>0</v>
      </c>
      <c r="L4" t="n">
        <v>1</v>
      </c>
      <c r="M4" t="n">
        <v>2</v>
      </c>
      <c r="N4" t="n">
        <v>0</v>
      </c>
      <c r="O4" t="n">
        <v>0</v>
      </c>
      <c r="P4" t="n">
        <v>0</v>
      </c>
      <c r="Q4" t="n">
        <v>3</v>
      </c>
      <c r="R4" t="n">
        <v>2</v>
      </c>
      <c r="S4" t="n">
        <v>4</v>
      </c>
      <c r="T4" t="n">
        <v>4</v>
      </c>
      <c r="U4" t="n">
        <v>2</v>
      </c>
      <c r="V4" s="2" t="inlineStr">
        <is>
          <t>Garnlav
Gränsticka
Kolflarnlav
Fjällummer × plattlummer</t>
        </is>
      </c>
      <c r="W4">
        <f>HYPERLINK("https://klasma.github.io/Logging_2418/artfynd/A 42818-2026 artfynd.xlsx", "A 42818-2026")</f>
        <v/>
      </c>
      <c r="X4">
        <f>HYPERLINK("https://klasma.github.io/Logging_2418/kartor/A 42818-2026 karta.png", "A 42818-2026")</f>
        <v/>
      </c>
      <c r="Y4">
        <f>HYPERLINK("https://klasma.github.io/Logging_2418/kartor_geotiff/A 42818-2026 georefererad karta.tif", "A 42818-2026")</f>
        <v/>
      </c>
      <c r="AA4">
        <f>HYPERLINK("https://klasma.github.io/Logging_2418/klagomål/A 42818-2026 FSC-klagomål.docx", "A 42818-2026")</f>
        <v/>
      </c>
      <c r="AB4">
        <f>HYPERLINK("https://klasma.github.io/Logging_2418/klagomålsmail/A 42818-2026 FSC-klagomål mail.docx", "A 42818-2026")</f>
        <v/>
      </c>
      <c r="AC4">
        <f>HYPERLINK("https://klasma.github.io/Logging_2418/tillsyn/A 42818-2026 tillsynsbegäran.docx", "A 42818-2026")</f>
        <v/>
      </c>
      <c r="AD4">
        <f>HYPERLINK("https://klasma.github.io/Logging_2418/tillsynsmail/A 42818-2026 tillsynsbegäran mail.docx", "A 42818-2026")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46320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46320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46320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46320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46320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46320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46320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42817-2026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46309</v>
      </c>
      <c r="E13" s="1" t="n">
        <v>46320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24.6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Dropptaggsvamp</t>
        </is>
      </c>
      <c r="W13">
        <f>HYPERLINK("https://klasma.github.io/Logging_2418/artfynd/A 42817-2026 artfynd.xlsx", "A 42817-2026")</f>
        <v/>
      </c>
      <c r="X13">
        <f>HYPERLINK("https://klasma.github.io/Logging_2418/kartor/A 42817-2026 karta.png", "A 42817-2026")</f>
        <v/>
      </c>
      <c r="Y13">
        <f>HYPERLINK("https://klasma.github.io/Logging_2418/kartor_geotiff/A 42817-2026 georefererad karta.tif", "A 42817-2026")</f>
        <v/>
      </c>
      <c r="AA13">
        <f>HYPERLINK("https://klasma.github.io/Logging_2418/klagomål/A 42817-2026 FSC-klagomål.docx", "A 42817-2026")</f>
        <v/>
      </c>
      <c r="AB13">
        <f>HYPERLINK("https://klasma.github.io/Logging_2418/klagomålsmail/A 42817-2026 FSC-klagomål mail.docx", "A 42817-2026")</f>
        <v/>
      </c>
      <c r="AC13">
        <f>HYPERLINK("https://klasma.github.io/Logging_2418/tillsyn/A 42817-2026 tillsynsbegäran.docx", "A 42817-2026")</f>
        <v/>
      </c>
      <c r="AD13">
        <f>HYPERLINK("https://klasma.github.io/Logging_2418/tillsynsmail/A 42817-2026 tillsynsbegäran mail.docx", "A 42817-2026")</f>
        <v/>
      </c>
    </row>
    <row r="14" ht="15" customHeight="1">
      <c r="A14" t="inlineStr">
        <is>
          <t>A 43367-2026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46314</v>
      </c>
      <c r="E14" s="1" t="n">
        <v>46320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7.8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Mörk kolflarnlav</t>
        </is>
      </c>
      <c r="W14">
        <f>HYPERLINK("https://klasma.github.io/Logging_2418/artfynd/A 43367-2026 artfynd.xlsx", "A 43367-2026")</f>
        <v/>
      </c>
      <c r="X14">
        <f>HYPERLINK("https://klasma.github.io/Logging_2418/kartor/A 43367-2026 karta.png", "A 43367-2026")</f>
        <v/>
      </c>
      <c r="Y14">
        <f>HYPERLINK("https://klasma.github.io/Logging_2418/kartor_geotiff/A 43367-2026 georefererad karta.tif", "A 43367-2026")</f>
        <v/>
      </c>
      <c r="AA14">
        <f>HYPERLINK("https://klasma.github.io/Logging_2418/klagomål/A 43367-2026 FSC-klagomål.docx", "A 43367-2026")</f>
        <v/>
      </c>
      <c r="AB14">
        <f>HYPERLINK("https://klasma.github.io/Logging_2418/klagomålsmail/A 43367-2026 FSC-klagomål mail.docx", "A 43367-2026")</f>
        <v/>
      </c>
      <c r="AC14">
        <f>HYPERLINK("https://klasma.github.io/Logging_2418/tillsyn/A 43367-2026 tillsynsbegäran.docx", "A 43367-2026")</f>
        <v/>
      </c>
      <c r="AD14">
        <f>HYPERLINK("https://klasma.github.io/Logging_2418/tillsynsmail/A 43367-2026 tillsynsbegäran mail.docx", "A 43367-2026")</f>
        <v/>
      </c>
    </row>
    <row r="15" ht="15" customHeight="1">
      <c r="A15" t="inlineStr">
        <is>
          <t>A 41840-2023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46320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15.9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Robust tickgnagare</t>
        </is>
      </c>
      <c r="W15">
        <f>HYPERLINK("https://klasma.github.io/Logging_2418/artfynd/A 41840-2023 artfynd.xlsx", "A 41840-2023")</f>
        <v/>
      </c>
      <c r="X15">
        <f>HYPERLINK("https://klasma.github.io/Logging_2418/kartor/A 41840-2023 karta.png", "A 41840-2023")</f>
        <v/>
      </c>
      <c r="Y15">
        <f>HYPERLINK("https://klasma.github.io/Logging_2418/kartor_geotiff/A 41840-2023 georefererad karta.tif", "A 41840-2023")</f>
        <v/>
      </c>
      <c r="AA15">
        <f>HYPERLINK("https://klasma.github.io/Logging_2418/klagomål/A 41840-2023 FSC-klagomål.docx", "A 41840-2023")</f>
        <v/>
      </c>
      <c r="AB15">
        <f>HYPERLINK("https://klasma.github.io/Logging_2418/klagomålsmail/A 41840-2023 FSC-klagomål mail.docx", "A 41840-2023")</f>
        <v/>
      </c>
      <c r="AC15">
        <f>HYPERLINK("https://klasma.github.io/Logging_2418/tillsyn/A 41840-2023 tillsynsbegäran.docx", "A 41840-2023")</f>
        <v/>
      </c>
      <c r="AD15">
        <f>HYPERLINK("https://klasma.github.io/Logging_2418/tillsynsmail/A 41840-2023 tillsynsbegäran mail.docx", "A 41840-2023")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46320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46320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46320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46320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46320</v>
      </c>
      <c r="F20" t="inlineStr">
        <is>
          <t>VÄSTERBOTTENS LÄN</t>
        </is>
      </c>
      <c r="G20" t="inlineStr">
        <is>
          <t>MALÅ</t>
        </is>
      </c>
      <c r="H20" t="inlineStr">
        <is>
          <t>Sveaskog</t>
        </is>
      </c>
      <c r="I20" t="n">
        <v>10.7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39152-2023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46320</v>
      </c>
      <c r="F21" t="inlineStr">
        <is>
          <t>VÄSTERBOTTENS LÄN</t>
        </is>
      </c>
      <c r="G21" t="inlineStr">
        <is>
          <t>MALÅ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46320</v>
      </c>
      <c r="F22" t="inlineStr">
        <is>
          <t>VÄSTERBOTTENS LÄN</t>
        </is>
      </c>
      <c r="G22" t="inlineStr">
        <is>
          <t>MALÅ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68036-2021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44525</v>
      </c>
      <c r="E23" s="1" t="n">
        <v>46320</v>
      </c>
      <c r="F23" t="inlineStr">
        <is>
          <t>VÄSTERBOTTENS LÄN</t>
        </is>
      </c>
      <c r="G23" t="inlineStr">
        <is>
          <t>MALÅ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45540</v>
      </c>
      <c r="E24" s="1" t="n">
        <v>46320</v>
      </c>
      <c r="F24" t="inlineStr">
        <is>
          <t>VÄSTERBOTTENS LÄN</t>
        </is>
      </c>
      <c r="G24" t="inlineStr">
        <is>
          <t>MALÅ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48931-2023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46320</v>
      </c>
      <c r="F25" t="inlineStr">
        <is>
          <t>VÄSTERBOTTENS LÄN</t>
        </is>
      </c>
      <c r="G25" t="inlineStr">
        <is>
          <t>MALÅ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46320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14.3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51357-2023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45219</v>
      </c>
      <c r="E27" s="1" t="n">
        <v>46320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10.8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45890</v>
      </c>
      <c r="E28" s="1" t="n">
        <v>46320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13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39614-2025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45890</v>
      </c>
      <c r="E29" s="1" t="n">
        <v>46320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37171-2023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45154</v>
      </c>
      <c r="E30" s="1" t="n">
        <v>46320</v>
      </c>
      <c r="F30" t="inlineStr">
        <is>
          <t>VÄSTERBOTTENS LÄN</t>
        </is>
      </c>
      <c r="G30" t="inlineStr">
        <is>
          <t>MALÅ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31088-2024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45502</v>
      </c>
      <c r="E31" s="1" t="n">
        <v>46320</v>
      </c>
      <c r="F31" t="inlineStr">
        <is>
          <t>VÄSTERBOTTENS LÄN</t>
        </is>
      </c>
      <c r="G31" t="inlineStr">
        <is>
          <t>MALÅ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37535-2023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45158</v>
      </c>
      <c r="E32" s="1" t="n">
        <v>46320</v>
      </c>
      <c r="F32" t="inlineStr">
        <is>
          <t>VÄSTERBOTTENS LÄN</t>
        </is>
      </c>
      <c r="G32" t="inlineStr">
        <is>
          <t>MALÅ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37183-2023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45154</v>
      </c>
      <c r="E33" s="1" t="n">
        <v>46320</v>
      </c>
      <c r="F33" t="inlineStr">
        <is>
          <t>VÄSTERBOTTENS LÄN</t>
        </is>
      </c>
      <c r="G33" t="inlineStr">
        <is>
          <t>MALÅ</t>
        </is>
      </c>
      <c r="I33" t="n">
        <v>41.2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41198-2025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45898</v>
      </c>
      <c r="E34" s="1" t="n">
        <v>46320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22.4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6671-2025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45700</v>
      </c>
      <c r="E35" s="1" t="n">
        <v>46320</v>
      </c>
      <c r="F35" t="inlineStr">
        <is>
          <t>VÄSTERBOTTENS LÄN</t>
        </is>
      </c>
      <c r="G35" t="inlineStr">
        <is>
          <t>MALÅ</t>
        </is>
      </c>
      <c r="H35" t="inlineStr">
        <is>
          <t>SCA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41212-2025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45898</v>
      </c>
      <c r="E36" s="1" t="n">
        <v>46320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17.6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41191-2025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46320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46320</v>
      </c>
      <c r="F38" t="inlineStr">
        <is>
          <t>VÄSTERBOTTENS LÄN</t>
        </is>
      </c>
      <c r="G38" t="inlineStr">
        <is>
          <t>MALÅ</t>
        </is>
      </c>
      <c r="I38" t="n">
        <v>41.7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12680-2022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44641</v>
      </c>
      <c r="E39" s="1" t="n">
        <v>46320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40943-2025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45897</v>
      </c>
      <c r="E40" s="1" t="n">
        <v>46320</v>
      </c>
      <c r="F40" t="inlineStr">
        <is>
          <t>VÄSTERBOTTENS LÄN</t>
        </is>
      </c>
      <c r="G40" t="inlineStr">
        <is>
          <t>MALÅ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41559-2025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45901</v>
      </c>
      <c r="E41" s="1" t="n">
        <v>46320</v>
      </c>
      <c r="F41" t="inlineStr">
        <is>
          <t>VÄSTERBOTTENS LÄN</t>
        </is>
      </c>
      <c r="G41" t="inlineStr">
        <is>
          <t>MALÅ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41672-2025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46320</v>
      </c>
      <c r="F42" t="inlineStr">
        <is>
          <t>VÄSTERBOTTENS LÄN</t>
        </is>
      </c>
      <c r="G42" t="inlineStr">
        <is>
          <t>MALÅ</t>
        </is>
      </c>
      <c r="I42" t="n">
        <v>8.199999999999999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52270-2023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46320</v>
      </c>
      <c r="F43" t="inlineStr">
        <is>
          <t>VÄSTERBOTTENS LÄN</t>
        </is>
      </c>
      <c r="G43" t="inlineStr">
        <is>
          <t>MALÅ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46320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23.4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13432-2025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46320</v>
      </c>
      <c r="F45" t="inlineStr">
        <is>
          <t>VÄSTERBOTTENS LÄN</t>
        </is>
      </c>
      <c r="G45" t="inlineStr">
        <is>
          <t>MALÅ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40822-2023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45171</v>
      </c>
      <c r="E46" s="1" t="n">
        <v>46320</v>
      </c>
      <c r="F46" t="inlineStr">
        <is>
          <t>VÄSTERBOTTENS LÄN</t>
        </is>
      </c>
      <c r="G46" t="inlineStr">
        <is>
          <t>MALÅ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44626-2023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45184</v>
      </c>
      <c r="E47" s="1" t="n">
        <v>46320</v>
      </c>
      <c r="F47" t="inlineStr">
        <is>
          <t>VÄSTERBOTTENS LÄN</t>
        </is>
      </c>
      <c r="G47" t="inlineStr">
        <is>
          <t>MALÅ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39994-2023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46320</v>
      </c>
      <c r="F48" t="inlineStr">
        <is>
          <t>VÄSTERBOTTENS LÄN</t>
        </is>
      </c>
      <c r="G48" t="inlineStr">
        <is>
          <t>MALÅ</t>
        </is>
      </c>
      <c r="I48" t="n">
        <v>27.9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45189</v>
      </c>
      <c r="E49" s="1" t="n">
        <v>46320</v>
      </c>
      <c r="F49" t="inlineStr">
        <is>
          <t>VÄSTERBOTTENS LÄN</t>
        </is>
      </c>
      <c r="G49" t="inlineStr">
        <is>
          <t>MALÅ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45660</v>
      </c>
      <c r="E50" s="1" t="n">
        <v>46320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46320</v>
      </c>
      <c r="F51" t="inlineStr">
        <is>
          <t>VÄSTERBOTTENS LÄN</t>
        </is>
      </c>
      <c r="G51" t="inlineStr">
        <is>
          <t>MALÅ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46320</v>
      </c>
      <c r="F52" t="inlineStr">
        <is>
          <t>VÄSTERBOTTENS LÄN</t>
        </is>
      </c>
      <c r="G52" t="inlineStr">
        <is>
          <t>MALÅ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45932</v>
      </c>
      <c r="E53" s="1" t="n">
        <v>46320</v>
      </c>
      <c r="F53" t="inlineStr">
        <is>
          <t>VÄSTERBOTTENS LÄN</t>
        </is>
      </c>
      <c r="G53" t="inlineStr">
        <is>
          <t>MALÅ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46320</v>
      </c>
      <c r="F54" t="inlineStr">
        <is>
          <t>VÄSTERBOTTENS LÄN</t>
        </is>
      </c>
      <c r="G54" t="inlineStr">
        <is>
          <t>MALÅ</t>
        </is>
      </c>
      <c r="I54" t="n">
        <v>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45210</v>
      </c>
      <c r="E55" s="1" t="n">
        <v>46320</v>
      </c>
      <c r="F55" t="inlineStr">
        <is>
          <t>VÄSTERBOTTENS LÄN</t>
        </is>
      </c>
      <c r="G55" t="inlineStr">
        <is>
          <t>MALÅ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59067-2023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45252</v>
      </c>
      <c r="E56" s="1" t="n">
        <v>46320</v>
      </c>
      <c r="F56" t="inlineStr">
        <is>
          <t>VÄSTERBOTTENS LÄN</t>
        </is>
      </c>
      <c r="G56" t="inlineStr">
        <is>
          <t>MALÅ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46320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45938</v>
      </c>
      <c r="E58" s="1" t="n">
        <v>46320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45938</v>
      </c>
      <c r="E59" s="1" t="n">
        <v>46320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7.5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46320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46320</v>
      </c>
      <c r="F61" t="inlineStr">
        <is>
          <t>VÄSTERBOTTENS LÄN</t>
        </is>
      </c>
      <c r="G61" t="inlineStr">
        <is>
          <t>MALÅ</t>
        </is>
      </c>
      <c r="H61" t="inlineStr">
        <is>
          <t>SCA</t>
        </is>
      </c>
      <c r="I61" t="n">
        <v>11.7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45939</v>
      </c>
      <c r="E62" s="1" t="n">
        <v>46320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46320</v>
      </c>
      <c r="F63" t="inlineStr">
        <is>
          <t>VÄSTERBOTTENS LÄN</t>
        </is>
      </c>
      <c r="G63" t="inlineStr">
        <is>
          <t>MALÅ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45939</v>
      </c>
      <c r="E64" s="1" t="n">
        <v>46320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44426-2023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45188</v>
      </c>
      <c r="E65" s="1" t="n">
        <v>46320</v>
      </c>
      <c r="F65" t="inlineStr">
        <is>
          <t>VÄSTERBOTTENS LÄN</t>
        </is>
      </c>
      <c r="G65" t="inlineStr">
        <is>
          <t>MALÅ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46320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46320</v>
      </c>
      <c r="F67" t="inlineStr">
        <is>
          <t>VÄSTERBOTTENS LÄN</t>
        </is>
      </c>
      <c r="G67" t="inlineStr">
        <is>
          <t>MALÅ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59561-2024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46320</v>
      </c>
      <c r="F68" t="inlineStr">
        <is>
          <t>VÄSTERBOTTENS LÄN</t>
        </is>
      </c>
      <c r="G68" t="inlineStr">
        <is>
          <t>MALÅ</t>
        </is>
      </c>
      <c r="I68" t="n">
        <v>11.4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37688-2024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45541</v>
      </c>
      <c r="E69" s="1" t="n">
        <v>46320</v>
      </c>
      <c r="F69" t="inlineStr">
        <is>
          <t>VÄSTERBOTTENS LÄN</t>
        </is>
      </c>
      <c r="G69" t="inlineStr">
        <is>
          <t>MALÅ</t>
        </is>
      </c>
      <c r="I69" t="n">
        <v>13.3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45393</v>
      </c>
      <c r="E70" s="1" t="n">
        <v>46320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45384</v>
      </c>
      <c r="E71" s="1" t="n">
        <v>46320</v>
      </c>
      <c r="F71" t="inlineStr">
        <is>
          <t>VÄSTERBOTTENS LÄN</t>
        </is>
      </c>
      <c r="G71" t="inlineStr">
        <is>
          <t>MALÅ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45197</v>
      </c>
      <c r="E72" s="1" t="n">
        <v>46320</v>
      </c>
      <c r="F72" t="inlineStr">
        <is>
          <t>VÄSTERBOTTENS LÄN</t>
        </is>
      </c>
      <c r="G72" t="inlineStr">
        <is>
          <t>MALÅ</t>
        </is>
      </c>
      <c r="I72" t="n">
        <v>10.9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46320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67679-2021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46320</v>
      </c>
      <c r="F74" t="inlineStr">
        <is>
          <t>VÄSTERBOTTENS LÄN</t>
        </is>
      </c>
      <c r="G74" t="inlineStr">
        <is>
          <t>MALÅ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45267</v>
      </c>
      <c r="E75" s="1" t="n">
        <v>46320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46320</v>
      </c>
      <c r="F76" t="inlineStr">
        <is>
          <t>VÄSTERBOTTENS LÄN</t>
        </is>
      </c>
      <c r="G76" t="inlineStr">
        <is>
          <t>MALÅ</t>
        </is>
      </c>
      <c r="H76" t="inlineStr">
        <is>
          <t>SCA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45952</v>
      </c>
      <c r="E77" s="1" t="n">
        <v>46320</v>
      </c>
      <c r="F77" t="inlineStr">
        <is>
          <t>VÄSTERBOTTENS LÄN</t>
        </is>
      </c>
      <c r="G77" t="inlineStr">
        <is>
          <t>MALÅ</t>
        </is>
      </c>
      <c r="I77" t="n">
        <v>18.6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45952</v>
      </c>
      <c r="E78" s="1" t="n">
        <v>46320</v>
      </c>
      <c r="F78" t="inlineStr">
        <is>
          <t>VÄSTERBOTTENS LÄN</t>
        </is>
      </c>
      <c r="G78" t="inlineStr">
        <is>
          <t>MALÅ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45170</v>
      </c>
      <c r="E79" s="1" t="n">
        <v>46320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45952</v>
      </c>
      <c r="E80" s="1" t="n">
        <v>46320</v>
      </c>
      <c r="F80" t="inlineStr">
        <is>
          <t>VÄSTERBOTTENS LÄN</t>
        </is>
      </c>
      <c r="G80" t="inlineStr">
        <is>
          <t>MALÅ</t>
        </is>
      </c>
      <c r="H80" t="inlineStr">
        <is>
          <t>SCA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46320</v>
      </c>
      <c r="F81" t="inlineStr">
        <is>
          <t>VÄSTERBOTTENS LÄN</t>
        </is>
      </c>
      <c r="G81" t="inlineStr">
        <is>
          <t>MALÅ</t>
        </is>
      </c>
      <c r="H81" t="inlineStr">
        <is>
          <t>SCA</t>
        </is>
      </c>
      <c r="I81" t="n">
        <v>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46320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45952</v>
      </c>
      <c r="E83" s="1" t="n">
        <v>46320</v>
      </c>
      <c r="F83" t="inlineStr">
        <is>
          <t>VÄSTERBOTTENS LÄN</t>
        </is>
      </c>
      <c r="G83" t="inlineStr">
        <is>
          <t>MALÅ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45952</v>
      </c>
      <c r="E84" s="1" t="n">
        <v>46320</v>
      </c>
      <c r="F84" t="inlineStr">
        <is>
          <t>VÄSTERBOTTENS LÄN</t>
        </is>
      </c>
      <c r="G84" t="inlineStr">
        <is>
          <t>MALÅ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45719</v>
      </c>
      <c r="E85" s="1" t="n">
        <v>46320</v>
      </c>
      <c r="F85" t="inlineStr">
        <is>
          <t>VÄSTERBOTTENS LÄN</t>
        </is>
      </c>
      <c r="G85" t="inlineStr">
        <is>
          <t>MALÅ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46320</v>
      </c>
      <c r="F86" t="inlineStr">
        <is>
          <t>VÄSTERBOTTENS LÄN</t>
        </is>
      </c>
      <c r="G86" t="inlineStr">
        <is>
          <t>MALÅ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45204</v>
      </c>
      <c r="E87" s="1" t="n">
        <v>46320</v>
      </c>
      <c r="F87" t="inlineStr">
        <is>
          <t>VÄSTERBOTTENS LÄN</t>
        </is>
      </c>
      <c r="G87" t="inlineStr">
        <is>
          <t>MALÅ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46185</v>
      </c>
      <c r="E88" s="1" t="n">
        <v>46320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46320</v>
      </c>
      <c r="F89" t="inlineStr">
        <is>
          <t>VÄSTERBOTTENS LÄN</t>
        </is>
      </c>
      <c r="G89" t="inlineStr">
        <is>
          <t>MALÅ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45960</v>
      </c>
      <c r="E90" s="1" t="n">
        <v>46320</v>
      </c>
      <c r="F90" t="inlineStr">
        <is>
          <t>VÄSTERBOTTENS LÄN</t>
        </is>
      </c>
      <c r="G90" t="inlineStr">
        <is>
          <t>MALÅ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46320</v>
      </c>
      <c r="F91" t="inlineStr">
        <is>
          <t>VÄSTERBOTTENS LÄN</t>
        </is>
      </c>
      <c r="G91" t="inlineStr">
        <is>
          <t>MALÅ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45667</v>
      </c>
      <c r="E92" s="1" t="n">
        <v>46320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27466-2026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46189</v>
      </c>
      <c r="E93" s="1" t="n">
        <v>46320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9.9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27490-2026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46189</v>
      </c>
      <c r="E94" s="1" t="n">
        <v>46320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46189</v>
      </c>
      <c r="E95" s="1" t="n">
        <v>46320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27494-2026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46189</v>
      </c>
      <c r="E96" s="1" t="n">
        <v>46320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45595</v>
      </c>
      <c r="E97" s="1" t="n">
        <v>46320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46320</v>
      </c>
      <c r="F98" t="inlineStr">
        <is>
          <t>VÄSTERBOTTENS LÄN</t>
        </is>
      </c>
      <c r="G98" t="inlineStr">
        <is>
          <t>MALÅ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27474-2026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46320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45966</v>
      </c>
      <c r="E100" s="1" t="n">
        <v>46320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45154</v>
      </c>
      <c r="E101" s="1" t="n">
        <v>46320</v>
      </c>
      <c r="F101" t="inlineStr">
        <is>
          <t>VÄSTERBOTTENS LÄN</t>
        </is>
      </c>
      <c r="G101" t="inlineStr">
        <is>
          <t>MALÅ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46320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23.5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45966</v>
      </c>
      <c r="E103" s="1" t="n">
        <v>46320</v>
      </c>
      <c r="F103" t="inlineStr">
        <is>
          <t>VÄSTERBOTTENS LÄN</t>
        </is>
      </c>
      <c r="G103" t="inlineStr">
        <is>
          <t>MALÅ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46320</v>
      </c>
      <c r="F104" t="inlineStr">
        <is>
          <t>VÄSTERBOTTENS LÄN</t>
        </is>
      </c>
      <c r="G104" t="inlineStr">
        <is>
          <t>MALÅ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45966</v>
      </c>
      <c r="E105" s="1" t="n">
        <v>46320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45178</v>
      </c>
      <c r="E106" s="1" t="n">
        <v>46320</v>
      </c>
      <c r="F106" t="inlineStr">
        <is>
          <t>VÄSTERBOTTENS LÄN</t>
        </is>
      </c>
      <c r="G106" t="inlineStr">
        <is>
          <t>MALÅ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29024-2026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46196</v>
      </c>
      <c r="E107" s="1" t="n">
        <v>46320</v>
      </c>
      <c r="F107" t="inlineStr">
        <is>
          <t>VÄSTERBOTTENS LÄN</t>
        </is>
      </c>
      <c r="G107" t="inlineStr">
        <is>
          <t>MALÅ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46196</v>
      </c>
      <c r="E108" s="1" t="n">
        <v>46320</v>
      </c>
      <c r="F108" t="inlineStr">
        <is>
          <t>VÄSTERBOTTENS LÄN</t>
        </is>
      </c>
      <c r="G108" t="inlineStr">
        <is>
          <t>MALÅ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48731-2023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46320</v>
      </c>
      <c r="F109" t="inlineStr">
        <is>
          <t>VÄSTERBOTTENS LÄN</t>
        </is>
      </c>
      <c r="G109" t="inlineStr">
        <is>
          <t>MALÅ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54463-2025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45964</v>
      </c>
      <c r="E110" s="1" t="n">
        <v>46320</v>
      </c>
      <c r="F110" t="inlineStr">
        <is>
          <t>VÄSTERBOTTENS LÄN</t>
        </is>
      </c>
      <c r="G110" t="inlineStr">
        <is>
          <t>MALÅ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54455-2025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45964</v>
      </c>
      <c r="E111" s="1" t="n">
        <v>46320</v>
      </c>
      <c r="F111" t="inlineStr">
        <is>
          <t>VÄSTERBOTTENS LÄN</t>
        </is>
      </c>
      <c r="G111" t="inlineStr">
        <is>
          <t>MALÅ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46320</v>
      </c>
      <c r="F112" t="inlineStr">
        <is>
          <t>VÄSTERBOTTENS LÄN</t>
        </is>
      </c>
      <c r="G112" t="inlineStr">
        <is>
          <t>MALÅ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46320</v>
      </c>
      <c r="F113" t="inlineStr">
        <is>
          <t>VÄSTERBOTTENS LÄN</t>
        </is>
      </c>
      <c r="G113" t="inlineStr">
        <is>
          <t>MALÅ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45622</v>
      </c>
      <c r="E114" s="1" t="n">
        <v>46320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53068-2023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45227</v>
      </c>
      <c r="E115" s="1" t="n">
        <v>46320</v>
      </c>
      <c r="F115" t="inlineStr">
        <is>
          <t>VÄSTERBOTTENS LÄN</t>
        </is>
      </c>
      <c r="G115" t="inlineStr">
        <is>
          <t>MALÅ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45173</v>
      </c>
      <c r="E116" s="1" t="n">
        <v>46320</v>
      </c>
      <c r="F116" t="inlineStr">
        <is>
          <t>VÄSTERBOTTENS LÄN</t>
        </is>
      </c>
      <c r="G116" t="inlineStr">
        <is>
          <t>MALÅ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28803-2026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46198</v>
      </c>
      <c r="E117" s="1" t="n">
        <v>46320</v>
      </c>
      <c r="F117" t="inlineStr">
        <is>
          <t>VÄSTERBOTTENS LÄN</t>
        </is>
      </c>
      <c r="G117" t="inlineStr">
        <is>
          <t>MALÅ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46320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46320</v>
      </c>
      <c r="F119" t="inlineStr">
        <is>
          <t>VÄSTERBOTTENS LÄN</t>
        </is>
      </c>
      <c r="G119" t="inlineStr">
        <is>
          <t>MALÅ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46320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37.2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46320</v>
      </c>
      <c r="F121" t="inlineStr">
        <is>
          <t>VÄSTERBOTTENS LÄN</t>
        </is>
      </c>
      <c r="G121" t="inlineStr">
        <is>
          <t>MALÅ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46320</v>
      </c>
      <c r="F122" t="inlineStr">
        <is>
          <t>VÄSTERBOTTENS LÄN</t>
        </is>
      </c>
      <c r="G122" t="inlineStr">
        <is>
          <t>MALÅ</t>
        </is>
      </c>
      <c r="I122" t="n">
        <v>20.7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46320</v>
      </c>
      <c r="F123" t="inlineStr">
        <is>
          <t>VÄSTERBOTTENS LÄN</t>
        </is>
      </c>
      <c r="G123" t="inlineStr">
        <is>
          <t>MALÅ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30502-2026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46210</v>
      </c>
      <c r="E124" s="1" t="n">
        <v>46320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46320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46320</v>
      </c>
      <c r="F126" t="inlineStr">
        <is>
          <t>VÄSTERBOTTENS LÄN</t>
        </is>
      </c>
      <c r="G126" t="inlineStr">
        <is>
          <t>MALÅ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45989</v>
      </c>
      <c r="E127" s="1" t="n">
        <v>46320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46320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46320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46320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41567-2023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45175</v>
      </c>
      <c r="E131" s="1" t="n">
        <v>46320</v>
      </c>
      <c r="F131" t="inlineStr">
        <is>
          <t>VÄSTERBOTTENS LÄN</t>
        </is>
      </c>
      <c r="G131" t="inlineStr">
        <is>
          <t>MALÅ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46320</v>
      </c>
      <c r="F132" t="inlineStr">
        <is>
          <t>VÄSTERBOTTENS LÄN</t>
        </is>
      </c>
      <c r="G132" t="inlineStr">
        <is>
          <t>MALÅ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46320</v>
      </c>
      <c r="F133" t="inlineStr">
        <is>
          <t>VÄSTERBOTTENS LÄN</t>
        </is>
      </c>
      <c r="G133" t="inlineStr">
        <is>
          <t>MALÅ</t>
        </is>
      </c>
      <c r="I133" t="n">
        <v>30.4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46223</v>
      </c>
      <c r="E134" s="1" t="n">
        <v>46320</v>
      </c>
      <c r="F134" t="inlineStr">
        <is>
          <t>VÄSTERBOTTENS LÄN</t>
        </is>
      </c>
      <c r="G134" t="inlineStr">
        <is>
          <t>MALÅ</t>
        </is>
      </c>
      <c r="H134" t="inlineStr">
        <is>
          <t>SCA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31535-2026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46223</v>
      </c>
      <c r="E135" s="1" t="n">
        <v>46320</v>
      </c>
      <c r="F135" t="inlineStr">
        <is>
          <t>VÄSTERBOTTENS LÄN</t>
        </is>
      </c>
      <c r="G135" t="inlineStr">
        <is>
          <t>MALÅ</t>
        </is>
      </c>
      <c r="H135" t="inlineStr">
        <is>
          <t>SCA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46320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46320</v>
      </c>
      <c r="F137" t="inlineStr">
        <is>
          <t>VÄSTERBOTTENS LÄN</t>
        </is>
      </c>
      <c r="G137" t="inlineStr">
        <is>
          <t>MALÅ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45636</v>
      </c>
      <c r="E138" s="1" t="n">
        <v>46320</v>
      </c>
      <c r="F138" t="inlineStr">
        <is>
          <t>VÄSTERBOTTENS LÄN</t>
        </is>
      </c>
      <c r="G138" t="inlineStr">
        <is>
          <t>MALÅ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46003</v>
      </c>
      <c r="E139" s="1" t="n">
        <v>46320</v>
      </c>
      <c r="F139" t="inlineStr">
        <is>
          <t>VÄSTERBOTTENS LÄN</t>
        </is>
      </c>
      <c r="G139" t="inlineStr">
        <is>
          <t>MALÅ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45483</v>
      </c>
      <c r="E140" s="1" t="n">
        <v>46320</v>
      </c>
      <c r="F140" t="inlineStr">
        <is>
          <t>VÄSTERBOTTENS LÄN</t>
        </is>
      </c>
      <c r="G140" t="inlineStr">
        <is>
          <t>MALÅ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26853-2026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46185</v>
      </c>
      <c r="E141" s="1" t="n">
        <v>46320</v>
      </c>
      <c r="F141" t="inlineStr">
        <is>
          <t>VÄSTERBOTTENS LÄN</t>
        </is>
      </c>
      <c r="G141" t="inlineStr">
        <is>
          <t>MALÅ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46232</v>
      </c>
      <c r="E142" s="1" t="n">
        <v>46320</v>
      </c>
      <c r="F142" t="inlineStr">
        <is>
          <t>VÄSTERBOTTENS LÄN</t>
        </is>
      </c>
      <c r="G142" t="inlineStr">
        <is>
          <t>MALÅ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45212</v>
      </c>
      <c r="E143" s="1" t="n">
        <v>46320</v>
      </c>
      <c r="F143" t="inlineStr">
        <is>
          <t>VÄSTERBOTTENS LÄN</t>
        </is>
      </c>
      <c r="G143" t="inlineStr">
        <is>
          <t>MALÅ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37867-2026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46279</v>
      </c>
      <c r="E144" s="1" t="n">
        <v>46320</v>
      </c>
      <c r="F144" t="inlineStr">
        <is>
          <t>VÄSTERBOTTENS LÄN</t>
        </is>
      </c>
      <c r="G144" t="inlineStr">
        <is>
          <t>MALÅ</t>
        </is>
      </c>
      <c r="H144" t="inlineStr">
        <is>
          <t>SCA</t>
        </is>
      </c>
      <c r="I144" t="n">
        <v>10.5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46320</v>
      </c>
      <c r="F145" t="inlineStr">
        <is>
          <t>VÄSTERBOTTENS LÄN</t>
        </is>
      </c>
      <c r="G145" t="inlineStr">
        <is>
          <t>MALÅ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46320</v>
      </c>
      <c r="F146" t="inlineStr">
        <is>
          <t>VÄSTERBOTTENS LÄN</t>
        </is>
      </c>
      <c r="G146" t="inlineStr">
        <is>
          <t>MALÅ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45454</v>
      </c>
      <c r="E147" s="1" t="n">
        <v>46320</v>
      </c>
      <c r="F147" t="inlineStr">
        <is>
          <t>VÄSTERBOTTENS LÄN</t>
        </is>
      </c>
      <c r="G147" t="inlineStr">
        <is>
          <t>MALÅ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44939</v>
      </c>
      <c r="E148" s="1" t="n">
        <v>46320</v>
      </c>
      <c r="F148" t="inlineStr">
        <is>
          <t>VÄSTERBOTTENS LÄN</t>
        </is>
      </c>
      <c r="G148" t="inlineStr">
        <is>
          <t>MALÅ</t>
        </is>
      </c>
      <c r="H148" t="inlineStr">
        <is>
          <t>SCA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46027</v>
      </c>
      <c r="E149" s="1" t="n">
        <v>46320</v>
      </c>
      <c r="F149" t="inlineStr">
        <is>
          <t>VÄSTERBOTTENS LÄN</t>
        </is>
      </c>
      <c r="G149" t="inlineStr">
        <is>
          <t>MALÅ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46320</v>
      </c>
      <c r="F150" t="inlineStr">
        <is>
          <t>VÄSTERBOTTENS LÄN</t>
        </is>
      </c>
      <c r="G150" t="inlineStr">
        <is>
          <t>MALÅ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46320</v>
      </c>
      <c r="F151" t="inlineStr">
        <is>
          <t>VÄSTERBOTTENS LÄN</t>
        </is>
      </c>
      <c r="G151" t="inlineStr">
        <is>
          <t>MALÅ</t>
        </is>
      </c>
      <c r="I151" t="n">
        <v>10.2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67383-2021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44523</v>
      </c>
      <c r="E152" s="1" t="n">
        <v>46320</v>
      </c>
      <c r="F152" t="inlineStr">
        <is>
          <t>VÄSTERBOTTENS LÄN</t>
        </is>
      </c>
      <c r="G152" t="inlineStr">
        <is>
          <t>MALÅ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45516</v>
      </c>
      <c r="E153" s="1" t="n">
        <v>46320</v>
      </c>
      <c r="F153" t="inlineStr">
        <is>
          <t>VÄSTERBOTTENS LÄN</t>
        </is>
      </c>
      <c r="G153" t="inlineStr">
        <is>
          <t>MALÅ</t>
        </is>
      </c>
      <c r="I153" t="n">
        <v>15.5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46320</v>
      </c>
      <c r="F154" t="inlineStr">
        <is>
          <t>VÄSTERBOTTENS LÄN</t>
        </is>
      </c>
      <c r="G154" t="inlineStr">
        <is>
          <t>MALÅ</t>
        </is>
      </c>
      <c r="I154" t="n">
        <v>10.8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46320</v>
      </c>
      <c r="F155" t="inlineStr">
        <is>
          <t>VÄSTERBOTTENS LÄN</t>
        </is>
      </c>
      <c r="G155" t="inlineStr">
        <is>
          <t>MALÅ</t>
        </is>
      </c>
      <c r="I155" t="n">
        <v>9.5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46320</v>
      </c>
      <c r="F156" t="inlineStr">
        <is>
          <t>VÄSTERBOTTENS LÄN</t>
        </is>
      </c>
      <c r="G156" t="inlineStr">
        <is>
          <t>MALÅ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45789-2023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46320</v>
      </c>
      <c r="F157" t="inlineStr">
        <is>
          <t>VÄSTERBOTTENS LÄN</t>
        </is>
      </c>
      <c r="G157" t="inlineStr">
        <is>
          <t>MALÅ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46320</v>
      </c>
      <c r="F158" t="inlineStr">
        <is>
          <t>VÄSTERBOTTENS LÄN</t>
        </is>
      </c>
      <c r="G158" t="inlineStr">
        <is>
          <t>MALÅ</t>
        </is>
      </c>
      <c r="I158" t="n">
        <v>22.9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46320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46320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45152</v>
      </c>
      <c r="E161" s="1" t="n">
        <v>46320</v>
      </c>
      <c r="F161" t="inlineStr">
        <is>
          <t>VÄSTERBOTTENS LÄN</t>
        </is>
      </c>
      <c r="G161" t="inlineStr">
        <is>
          <t>MALÅ</t>
        </is>
      </c>
      <c r="I161" t="n">
        <v>16.6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3471-2026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46042</v>
      </c>
      <c r="E162" s="1" t="n">
        <v>46320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24681-2025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45798</v>
      </c>
      <c r="E163" s="1" t="n">
        <v>46320</v>
      </c>
      <c r="F163" t="inlineStr">
        <is>
          <t>VÄSTERBOTTENS LÄN</t>
        </is>
      </c>
      <c r="G163" t="inlineStr">
        <is>
          <t>MALÅ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46265</v>
      </c>
      <c r="E164" s="1" t="n">
        <v>46320</v>
      </c>
      <c r="F164" t="inlineStr">
        <is>
          <t>VÄSTERBOTTENS LÄN</t>
        </is>
      </c>
      <c r="G164" t="inlineStr">
        <is>
          <t>MALÅ</t>
        </is>
      </c>
      <c r="H164" t="inlineStr">
        <is>
          <t>SCA</t>
        </is>
      </c>
      <c r="I164" t="n">
        <v>11.5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46320</v>
      </c>
      <c r="F165" t="inlineStr">
        <is>
          <t>VÄSTERBOTTENS LÄN</t>
        </is>
      </c>
      <c r="G165" t="inlineStr">
        <is>
          <t>MALÅ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46320</v>
      </c>
      <c r="F166" t="inlineStr">
        <is>
          <t>VÄSTERBOTTENS LÄN</t>
        </is>
      </c>
      <c r="G166" t="inlineStr">
        <is>
          <t>MALÅ</t>
        </is>
      </c>
      <c r="I166" t="n">
        <v>10.5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46320</v>
      </c>
      <c r="F167" t="inlineStr">
        <is>
          <t>VÄSTERBOTTENS LÄN</t>
        </is>
      </c>
      <c r="G167" t="inlineStr">
        <is>
          <t>MALÅ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46320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46320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46320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46320</v>
      </c>
      <c r="F171" t="inlineStr">
        <is>
          <t>VÄSTERBOTTENS LÄN</t>
        </is>
      </c>
      <c r="G171" t="inlineStr">
        <is>
          <t>MALÅ</t>
        </is>
      </c>
      <c r="I171" t="n">
        <v>19.2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46320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46248</v>
      </c>
      <c r="E173" s="1" t="n">
        <v>46320</v>
      </c>
      <c r="F173" t="inlineStr">
        <is>
          <t>VÄSTERBOTTENS LÄN</t>
        </is>
      </c>
      <c r="G173" t="inlineStr">
        <is>
          <t>MALÅ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46320</v>
      </c>
      <c r="F174" t="inlineStr">
        <is>
          <t>VÄSTERBOTTENS LÄN</t>
        </is>
      </c>
      <c r="G174" t="inlineStr">
        <is>
          <t>MALÅ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45520</v>
      </c>
      <c r="E175" s="1" t="n">
        <v>46320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44740</v>
      </c>
      <c r="E176" s="1" t="n">
        <v>46320</v>
      </c>
      <c r="F176" t="inlineStr">
        <is>
          <t>VÄSTERBOTTENS LÄN</t>
        </is>
      </c>
      <c r="G176" t="inlineStr">
        <is>
          <t>MALÅ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46320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46320</v>
      </c>
      <c r="F178" t="inlineStr">
        <is>
          <t>VÄSTERBOTTENS LÄN</t>
        </is>
      </c>
      <c r="G178" t="inlineStr">
        <is>
          <t>MALÅ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45589</v>
      </c>
      <c r="E179" s="1" t="n">
        <v>46320</v>
      </c>
      <c r="F179" t="inlineStr">
        <is>
          <t>VÄSTERBOTTENS LÄN</t>
        </is>
      </c>
      <c r="G179" t="inlineStr">
        <is>
          <t>MALÅ</t>
        </is>
      </c>
      <c r="H179" t="inlineStr">
        <is>
          <t>SCA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8648-2026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46066</v>
      </c>
      <c r="E180" s="1" t="n">
        <v>46320</v>
      </c>
      <c r="F180" t="inlineStr">
        <is>
          <t>VÄSTERBOTTENS LÄN</t>
        </is>
      </c>
      <c r="G180" t="inlineStr">
        <is>
          <t>MALÅ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46320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46320</v>
      </c>
      <c r="F182" t="inlineStr">
        <is>
          <t>VÄSTERBOTTENS LÄN</t>
        </is>
      </c>
      <c r="G182" t="inlineStr">
        <is>
          <t>MALÅ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46072</v>
      </c>
      <c r="E183" s="1" t="n">
        <v>46320</v>
      </c>
      <c r="F183" t="inlineStr">
        <is>
          <t>VÄSTERBOTTENS LÄN</t>
        </is>
      </c>
      <c r="G183" t="inlineStr">
        <is>
          <t>MALÅ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33764-2026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46320</v>
      </c>
      <c r="F184" t="inlineStr">
        <is>
          <t>VÄSTERBOTTENS LÄN</t>
        </is>
      </c>
      <c r="G184" t="inlineStr">
        <is>
          <t>MALÅ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46320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46253</v>
      </c>
      <c r="E186" s="1" t="n">
        <v>46320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46253</v>
      </c>
      <c r="E187" s="1" t="n">
        <v>46320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46253</v>
      </c>
      <c r="E188" s="1" t="n">
        <v>46320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34249-2026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46320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46320</v>
      </c>
      <c r="F190" t="inlineStr">
        <is>
          <t>VÄSTERBOTTENS LÄN</t>
        </is>
      </c>
      <c r="G190" t="inlineStr">
        <is>
          <t>MALÅ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46320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46320</v>
      </c>
      <c r="F192" t="inlineStr">
        <is>
          <t>VÄSTERBOTTENS LÄN</t>
        </is>
      </c>
      <c r="G192" t="inlineStr">
        <is>
          <t>MALÅ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46097</v>
      </c>
      <c r="E193" s="1" t="n">
        <v>46320</v>
      </c>
      <c r="F193" t="inlineStr">
        <is>
          <t>VÄSTERBOTTENS LÄN</t>
        </is>
      </c>
      <c r="G193" t="inlineStr">
        <is>
          <t>MALÅ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46320</v>
      </c>
      <c r="F194" t="inlineStr">
        <is>
          <t>VÄSTERBOTTENS LÄN</t>
        </is>
      </c>
      <c r="G194" t="inlineStr">
        <is>
          <t>MALÅ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46097</v>
      </c>
      <c r="E195" s="1" t="n">
        <v>46320</v>
      </c>
      <c r="F195" t="inlineStr">
        <is>
          <t>VÄSTERBOTTENS LÄN</t>
        </is>
      </c>
      <c r="G195" t="inlineStr">
        <is>
          <t>MALÅ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33240-2026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46246</v>
      </c>
      <c r="E196" s="1" t="n">
        <v>46320</v>
      </c>
      <c r="F196" t="inlineStr">
        <is>
          <t>VÄSTERBOTTENS LÄN</t>
        </is>
      </c>
      <c r="G196" t="inlineStr">
        <is>
          <t>MALÅ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34259-2026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46320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46320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19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46320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45504</v>
      </c>
      <c r="E200" s="1" t="n">
        <v>46320</v>
      </c>
      <c r="F200" t="inlineStr">
        <is>
          <t>VÄSTERBOTTENS LÄN</t>
        </is>
      </c>
      <c r="G200" t="inlineStr">
        <is>
          <t>MALÅ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45860</v>
      </c>
      <c r="E201" s="1" t="n">
        <v>46320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35723-2025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45860</v>
      </c>
      <c r="E202" s="1" t="n">
        <v>46320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45861</v>
      </c>
      <c r="E203" s="1" t="n">
        <v>46320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45861</v>
      </c>
      <c r="E204" s="1" t="n">
        <v>46320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45861</v>
      </c>
      <c r="E205" s="1" t="n">
        <v>46320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45861</v>
      </c>
      <c r="E206" s="1" t="n">
        <v>46320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46114</v>
      </c>
      <c r="E207" s="1" t="n">
        <v>46320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19.7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46320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14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45875</v>
      </c>
      <c r="E209" s="1" t="n">
        <v>46320</v>
      </c>
      <c r="F209" t="inlineStr">
        <is>
          <t>VÄSTERBOTTENS LÄN</t>
        </is>
      </c>
      <c r="G209" t="inlineStr">
        <is>
          <t>MALÅ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46320</v>
      </c>
      <c r="F210" t="inlineStr">
        <is>
          <t>VÄSTERBOTTENS LÄN</t>
        </is>
      </c>
      <c r="G210" t="inlineStr">
        <is>
          <t>MALÅ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58240-2022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46320</v>
      </c>
      <c r="F211" t="inlineStr">
        <is>
          <t>VÄSTERBOTTENS LÄN</t>
        </is>
      </c>
      <c r="G211" t="inlineStr">
        <is>
          <t>MALÅ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46133</v>
      </c>
      <c r="E212" s="1" t="n">
        <v>46320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41852-2023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46320</v>
      </c>
      <c r="F213" t="inlineStr">
        <is>
          <t>VÄSTERBOTTENS LÄN</t>
        </is>
      </c>
      <c r="G213" t="inlineStr">
        <is>
          <t>MALÅ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46320</v>
      </c>
      <c r="F214" t="inlineStr">
        <is>
          <t>VÄSTERBOTTENS LÄN</t>
        </is>
      </c>
      <c r="G214" t="inlineStr">
        <is>
          <t>MALÅ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46133</v>
      </c>
      <c r="E215" s="1" t="n">
        <v>46320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55.9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46133</v>
      </c>
      <c r="E216" s="1" t="n">
        <v>46320</v>
      </c>
      <c r="F216" t="inlineStr">
        <is>
          <t>VÄSTERBOTTENS LÄN</t>
        </is>
      </c>
      <c r="G216" t="inlineStr">
        <is>
          <t>MALÅ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46320</v>
      </c>
      <c r="F217" t="inlineStr">
        <is>
          <t>VÄSTERBOTTENS LÄN</t>
        </is>
      </c>
      <c r="G217" t="inlineStr">
        <is>
          <t>MALÅ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46320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63.6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46310</v>
      </c>
      <c r="E219" s="1" t="n">
        <v>46320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46310</v>
      </c>
      <c r="E220" s="1" t="n">
        <v>46320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46309</v>
      </c>
      <c r="E221" s="1" t="n">
        <v>46320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46320</v>
      </c>
      <c r="F222" t="inlineStr">
        <is>
          <t>VÄSTERBOTTENS LÄN</t>
        </is>
      </c>
      <c r="G222" t="inlineStr">
        <is>
          <t>MALÅ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43355-2026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46314</v>
      </c>
      <c r="E223" s="1" t="n">
        <v>46320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32772-2024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46320</v>
      </c>
      <c r="F224" t="inlineStr">
        <is>
          <t>VÄSTERBOTTENS LÄN</t>
        </is>
      </c>
      <c r="G224" t="inlineStr">
        <is>
          <t>MALÅ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9191-2025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45714</v>
      </c>
      <c r="E225" s="1" t="n">
        <v>46320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18.7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46320</v>
      </c>
      <c r="F226" t="inlineStr">
        <is>
          <t>VÄSTERBOTTENS LÄN</t>
        </is>
      </c>
      <c r="G226" t="inlineStr">
        <is>
          <t>MALÅ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45139</v>
      </c>
      <c r="E227" s="1" t="n">
        <v>46320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20234-2023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45054</v>
      </c>
      <c r="E228" s="1" t="n">
        <v>46320</v>
      </c>
      <c r="F228" t="inlineStr">
        <is>
          <t>VÄSTERBOTTENS LÄN</t>
        </is>
      </c>
      <c r="G228" t="inlineStr">
        <is>
          <t>MALÅ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45154</v>
      </c>
      <c r="E229" s="1" t="n">
        <v>46320</v>
      </c>
      <c r="F229" t="inlineStr">
        <is>
          <t>VÄSTERBOTTENS LÄN</t>
        </is>
      </c>
      <c r="G229" t="inlineStr">
        <is>
          <t>MALÅ</t>
        </is>
      </c>
      <c r="I229" t="n">
        <v>73.7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53657-2023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45230</v>
      </c>
      <c r="E230" s="1" t="n">
        <v>46320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46320</v>
      </c>
      <c r="F231" t="inlineStr">
        <is>
          <t>VÄSTERBOTTENS LÄN</t>
        </is>
      </c>
      <c r="G231" t="inlineStr">
        <is>
          <t>MALÅ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46276</v>
      </c>
      <c r="E232" s="1" t="n">
        <v>46320</v>
      </c>
      <c r="F232" t="inlineStr">
        <is>
          <t>VÄSTERBOTTENS LÄN</t>
        </is>
      </c>
      <c r="G232" t="inlineStr">
        <is>
          <t>MALÅ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46276</v>
      </c>
      <c r="E233" s="1" t="n">
        <v>46320</v>
      </c>
      <c r="F233" t="inlineStr">
        <is>
          <t>VÄSTERBOTTENS LÄN</t>
        </is>
      </c>
      <c r="G233" t="inlineStr">
        <is>
          <t>MALÅ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46276</v>
      </c>
      <c r="E234" s="1" t="n">
        <v>46320</v>
      </c>
      <c r="F234" t="inlineStr">
        <is>
          <t>VÄSTERBOTTENS LÄN</t>
        </is>
      </c>
      <c r="G234" t="inlineStr">
        <is>
          <t>MALÅ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56727-2022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46320</v>
      </c>
      <c r="F235" t="inlineStr">
        <is>
          <t>VÄSTERBOTTENS LÄN</t>
        </is>
      </c>
      <c r="G235" t="inlineStr">
        <is>
          <t>MALÅ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44026-2026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46317</v>
      </c>
      <c r="E236" s="1" t="n">
        <v>46320</v>
      </c>
      <c r="F236" t="inlineStr">
        <is>
          <t>VÄSTERBOTTENS LÄN</t>
        </is>
      </c>
      <c r="G236" t="inlineStr">
        <is>
          <t>MALÅ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46317</v>
      </c>
      <c r="E237" s="1" t="n">
        <v>46320</v>
      </c>
      <c r="F237" t="inlineStr">
        <is>
          <t>VÄSTERBOTTENS LÄN</t>
        </is>
      </c>
      <c r="G237" t="inlineStr">
        <is>
          <t>MALÅ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46317</v>
      </c>
      <c r="E238" s="1" t="n">
        <v>46320</v>
      </c>
      <c r="F238" t="inlineStr">
        <is>
          <t>VÄSTERBOTTENS LÄN</t>
        </is>
      </c>
      <c r="G238" t="inlineStr">
        <is>
          <t>MALÅ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45174</v>
      </c>
      <c r="E239" s="1" t="n">
        <v>46320</v>
      </c>
      <c r="F239" t="inlineStr">
        <is>
          <t>VÄSTERBOTTENS LÄN</t>
        </is>
      </c>
      <c r="G239" t="inlineStr">
        <is>
          <t>MALÅ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HYPERLINK("https://klasma.github.io/Logging_2418/knärot/A 41353-2023 karta knärot.png", "A 41353-2023")</f>
        <v/>
      </c>
      <c r="AA239">
        <f>HYPERLINK("https://klasma.github.io/Logging_2418/klagomål/A 41353-2023 FSC-klagomål.docx", "A 41353-2023")</f>
        <v/>
      </c>
      <c r="AB239">
        <f>HYPERLINK("https://klasma.github.io/Logging_2418/klagomålsmail/A 41353-2023 FSC-klagomål mail.docx", "A 41353-2023")</f>
        <v/>
      </c>
      <c r="AC239">
        <f>HYPERLINK("https://klasma.github.io/Logging_2418/tillsyn/A 41353-2023 tillsynsbegäran.docx", "A 41353-2023")</f>
        <v/>
      </c>
      <c r="AD239">
        <f>HYPERLINK("https://klasma.github.io/Logging_2418/tillsynsmail/A 41353-2023 tillsynsbegäran mail.docx", "A 41353-2023")</f>
        <v/>
      </c>
    </row>
    <row r="240" ht="15" customHeight="1">
      <c r="A240" t="inlineStr">
        <is>
          <t>A 37327-2023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46320</v>
      </c>
      <c r="F240" t="inlineStr">
        <is>
          <t>VÄSTERBOTTENS LÄN</t>
        </is>
      </c>
      <c r="G240" t="inlineStr">
        <is>
          <t>MALÅ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45176</v>
      </c>
      <c r="E241" s="1" t="n">
        <v>46320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46320</v>
      </c>
      <c r="F242" t="inlineStr">
        <is>
          <t>VÄSTERBOTTENS LÄN</t>
        </is>
      </c>
      <c r="G242" t="inlineStr">
        <is>
          <t>MALÅ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45719</v>
      </c>
      <c r="E243" s="1" t="n">
        <v>46320</v>
      </c>
      <c r="F243" t="inlineStr">
        <is>
          <t>VÄSTERBOTTENS LÄN</t>
        </is>
      </c>
      <c r="G243" t="inlineStr">
        <is>
          <t>MALÅ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55671-2023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45238</v>
      </c>
      <c r="E244" s="1" t="n">
        <v>46320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11824-2023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46320</v>
      </c>
      <c r="F245" t="inlineStr">
        <is>
          <t>VÄSTERBOTTENS LÄN</t>
        </is>
      </c>
      <c r="G245" t="inlineStr">
        <is>
          <t>MALÅ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46320</v>
      </c>
      <c r="F246" t="inlineStr">
        <is>
          <t>VÄSTERBOTTENS LÄN</t>
        </is>
      </c>
      <c r="G246" t="inlineStr">
        <is>
          <t>MALÅ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49434-2023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45211</v>
      </c>
      <c r="E247" s="1" t="n">
        <v>46320</v>
      </c>
      <c r="F247" t="inlineStr">
        <is>
          <t>VÄSTERBOTTENS LÄN</t>
        </is>
      </c>
      <c r="G247" t="inlineStr">
        <is>
          <t>MALÅ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46320</v>
      </c>
      <c r="F248" t="inlineStr">
        <is>
          <t>VÄSTERBOTTENS LÄN</t>
        </is>
      </c>
      <c r="G248" t="inlineStr">
        <is>
          <t>MALÅ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44792</v>
      </c>
      <c r="E249" s="1" t="n">
        <v>46320</v>
      </c>
      <c r="F249" t="inlineStr">
        <is>
          <t>VÄSTERBOTTENS LÄN</t>
        </is>
      </c>
      <c r="G249" t="inlineStr">
        <is>
          <t>MALÅ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60520-2024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45643</v>
      </c>
      <c r="E250" s="1" t="n">
        <v>46320</v>
      </c>
      <c r="F250" t="inlineStr">
        <is>
          <t>VÄSTERBOTTENS LÄN</t>
        </is>
      </c>
      <c r="G250" t="inlineStr">
        <is>
          <t>MALÅ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12797-2023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46320</v>
      </c>
      <c r="F251" t="inlineStr">
        <is>
          <t>VÄSTERBOTTENS LÄN</t>
        </is>
      </c>
      <c r="G251" t="inlineStr">
        <is>
          <t>MALÅ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45201</v>
      </c>
      <c r="E252" s="1" t="n">
        <v>46320</v>
      </c>
      <c r="F252" t="inlineStr">
        <is>
          <t>VÄSTERBOTTENS LÄN</t>
        </is>
      </c>
      <c r="G252" t="inlineStr">
        <is>
          <t>MALÅ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46320</v>
      </c>
      <c r="F253" t="inlineStr">
        <is>
          <t>VÄSTERBOTTENS LÄN</t>
        </is>
      </c>
      <c r="G253" t="inlineStr">
        <is>
          <t>MALÅ</t>
        </is>
      </c>
      <c r="I253" t="n">
        <v>15.7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36744-2023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45153</v>
      </c>
      <c r="E254" s="1" t="n">
        <v>46320</v>
      </c>
      <c r="F254" t="inlineStr">
        <is>
          <t>VÄSTERBOTTENS LÄN</t>
        </is>
      </c>
      <c r="G254" t="inlineStr">
        <is>
          <t>MALÅ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45178</v>
      </c>
      <c r="E255" s="1" t="n">
        <v>46320</v>
      </c>
      <c r="F255" t="inlineStr">
        <is>
          <t>VÄSTERBOTTENS LÄN</t>
        </is>
      </c>
      <c r="G255" t="inlineStr">
        <is>
          <t>MALÅ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45002</v>
      </c>
      <c r="E256" s="1" t="n">
        <v>46320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46320</v>
      </c>
      <c r="F257" t="inlineStr">
        <is>
          <t>VÄSTERBOTTENS LÄN</t>
        </is>
      </c>
      <c r="G257" t="inlineStr">
        <is>
          <t>MALÅ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45184</v>
      </c>
      <c r="E258" s="1" t="n">
        <v>46320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56662-2024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45625</v>
      </c>
      <c r="E259" s="1" t="n">
        <v>46320</v>
      </c>
      <c r="F259" t="inlineStr">
        <is>
          <t>VÄSTERBOTTENS LÄN</t>
        </is>
      </c>
      <c r="G259" t="inlineStr">
        <is>
          <t>MALÅ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46320</v>
      </c>
      <c r="F260" t="inlineStr">
        <is>
          <t>VÄSTERBOTTENS LÄN</t>
        </is>
      </c>
      <c r="G260" t="inlineStr">
        <is>
          <t>MALÅ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46320</v>
      </c>
      <c r="F261" t="inlineStr">
        <is>
          <t>VÄSTERBOTTENS LÄN</t>
        </is>
      </c>
      <c r="G261" t="inlineStr">
        <is>
          <t>MALÅ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46320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45149</v>
      </c>
      <c r="E263" s="1" t="n">
        <v>46320</v>
      </c>
      <c r="F263" t="inlineStr">
        <is>
          <t>VÄSTERBOTTENS LÄN</t>
        </is>
      </c>
      <c r="G263" t="inlineStr">
        <is>
          <t>MALÅ</t>
        </is>
      </c>
      <c r="I263" t="n">
        <v>26.9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45203</v>
      </c>
      <c r="E264" s="1" t="n">
        <v>46320</v>
      </c>
      <c r="F264" t="inlineStr">
        <is>
          <t>VÄSTERBOTTENS LÄN</t>
        </is>
      </c>
      <c r="G264" t="inlineStr">
        <is>
          <t>MALÅ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46320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46320</v>
      </c>
      <c r="F266" t="inlineStr">
        <is>
          <t>VÄSTERBOTTENS LÄN</t>
        </is>
      </c>
      <c r="G266" t="inlineStr">
        <is>
          <t>MALÅ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46320</v>
      </c>
      <c r="F267" t="inlineStr">
        <is>
          <t>VÄSTERBOTTENS LÄN</t>
        </is>
      </c>
      <c r="G267" t="inlineStr">
        <is>
          <t>MALÅ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46320</v>
      </c>
      <c r="F268" t="inlineStr">
        <is>
          <t>VÄSTERBOTTENS LÄN</t>
        </is>
      </c>
      <c r="G268" t="inlineStr">
        <is>
          <t>MALÅ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46320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21.8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45193</v>
      </c>
      <c r="E270" s="1" t="n">
        <v>46320</v>
      </c>
      <c r="F270" t="inlineStr">
        <is>
          <t>VÄSTERBOTTENS LÄN</t>
        </is>
      </c>
      <c r="G270" t="inlineStr">
        <is>
          <t>MALÅ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46320</v>
      </c>
      <c r="F271" t="inlineStr">
        <is>
          <t>VÄSTERBOTTENS LÄN</t>
        </is>
      </c>
      <c r="G271" t="inlineStr">
        <is>
          <t>MALÅ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37078-2023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45155</v>
      </c>
      <c r="E272" s="1" t="n">
        <v>46320</v>
      </c>
      <c r="F272" t="inlineStr">
        <is>
          <t>VÄSTERBOTTENS LÄN</t>
        </is>
      </c>
      <c r="G272" t="inlineStr">
        <is>
          <t>MALÅ</t>
        </is>
      </c>
      <c r="I272" t="n">
        <v>48.2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46320</v>
      </c>
      <c r="F273" t="inlineStr">
        <is>
          <t>VÄSTERBOTTENS LÄN</t>
        </is>
      </c>
      <c r="G273" t="inlineStr">
        <is>
          <t>MALÅ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46320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35917-2022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44802</v>
      </c>
      <c r="E275" s="1" t="n">
        <v>46320</v>
      </c>
      <c r="F275" t="inlineStr">
        <is>
          <t>VÄSTERBOTTENS LÄN</t>
        </is>
      </c>
      <c r="G275" t="inlineStr">
        <is>
          <t>MALÅ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46320</v>
      </c>
      <c r="F276" t="inlineStr">
        <is>
          <t>VÄSTERBOTTENS LÄN</t>
        </is>
      </c>
      <c r="G276" t="inlineStr">
        <is>
          <t>MALÅ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44881</v>
      </c>
      <c r="E277" s="1" t="n">
        <v>46320</v>
      </c>
      <c r="F277" t="inlineStr">
        <is>
          <t>VÄSTERBOTTENS LÄN</t>
        </is>
      </c>
      <c r="G277" t="inlineStr">
        <is>
          <t>MALÅ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42214-2023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45179</v>
      </c>
      <c r="E278" s="1" t="n">
        <v>46320</v>
      </c>
      <c r="F278" t="inlineStr">
        <is>
          <t>VÄSTERBOTTENS LÄN</t>
        </is>
      </c>
      <c r="G278" t="inlineStr">
        <is>
          <t>MALÅ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46320</v>
      </c>
      <c r="F279" t="inlineStr">
        <is>
          <t>VÄSTERBOTTENS LÄN</t>
        </is>
      </c>
      <c r="G279" t="inlineStr">
        <is>
          <t>MALÅ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46320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46320</v>
      </c>
      <c r="F281" t="inlineStr">
        <is>
          <t>VÄSTERBOTTENS LÄN</t>
        </is>
      </c>
      <c r="G281" t="inlineStr">
        <is>
          <t>MALÅ</t>
        </is>
      </c>
      <c r="I281" t="n">
        <v>26.3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46320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45167</v>
      </c>
      <c r="E283" s="1" t="n">
        <v>46320</v>
      </c>
      <c r="F283" t="inlineStr">
        <is>
          <t>VÄSTERBOTTENS LÄN</t>
        </is>
      </c>
      <c r="G283" t="inlineStr">
        <is>
          <t>MALÅ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45158</v>
      </c>
      <c r="E284" s="1" t="n">
        <v>46320</v>
      </c>
      <c r="F284" t="inlineStr">
        <is>
          <t>VÄSTERBOTTENS LÄN</t>
        </is>
      </c>
      <c r="G284" t="inlineStr">
        <is>
          <t>MALÅ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45156</v>
      </c>
      <c r="E285" s="1" t="n">
        <v>46320</v>
      </c>
      <c r="F285" t="inlineStr">
        <is>
          <t>VÄSTERBOTTENS LÄN</t>
        </is>
      </c>
      <c r="G285" t="inlineStr">
        <is>
          <t>MALÅ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39385-2023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46320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37444-2023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46320</v>
      </c>
      <c r="F287" t="inlineStr">
        <is>
          <t>VÄSTERBOTTENS LÄN</t>
        </is>
      </c>
      <c r="G287" t="inlineStr">
        <is>
          <t>MALÅ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45152</v>
      </c>
      <c r="E288" s="1" t="n">
        <v>46320</v>
      </c>
      <c r="F288" t="inlineStr">
        <is>
          <t>VÄSTERBOTTENS LÄN</t>
        </is>
      </c>
      <c r="G288" t="inlineStr">
        <is>
          <t>MALÅ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52795-2024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46320</v>
      </c>
      <c r="F289" t="inlineStr">
        <is>
          <t>VÄSTERBOTTENS LÄN</t>
        </is>
      </c>
      <c r="G289" t="inlineStr">
        <is>
          <t>MALÅ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46320</v>
      </c>
      <c r="F290" t="inlineStr">
        <is>
          <t>VÄSTERBOTTENS LÄN</t>
        </is>
      </c>
      <c r="G290" t="inlineStr">
        <is>
          <t>MALÅ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61609-2024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46320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46320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30.8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46320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45154</v>
      </c>
      <c r="E294" s="1" t="n">
        <v>46320</v>
      </c>
      <c r="F294" t="inlineStr">
        <is>
          <t>VÄSTERBOTTENS LÄN</t>
        </is>
      </c>
      <c r="G294" t="inlineStr">
        <is>
          <t>MALÅ</t>
        </is>
      </c>
      <c r="I294" t="n">
        <v>63.5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46320</v>
      </c>
      <c r="F295" t="inlineStr">
        <is>
          <t>VÄSTERBOTTENS LÄN</t>
        </is>
      </c>
      <c r="G295" t="inlineStr">
        <is>
          <t>MALÅ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45590</v>
      </c>
      <c r="E296" s="1" t="n">
        <v>46320</v>
      </c>
      <c r="F296" t="inlineStr">
        <is>
          <t>VÄSTERBOTTENS LÄN</t>
        </is>
      </c>
      <c r="G296" t="inlineStr">
        <is>
          <t>MALÅ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46320</v>
      </c>
      <c r="F297" t="inlineStr">
        <is>
          <t>VÄSTERBOTTENS LÄN</t>
        </is>
      </c>
      <c r="G297" t="inlineStr">
        <is>
          <t>MALÅ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45642</v>
      </c>
      <c r="E298" s="1" t="n">
        <v>46320</v>
      </c>
      <c r="F298" t="inlineStr">
        <is>
          <t>VÄSTERBOTTENS LÄN</t>
        </is>
      </c>
      <c r="G298" t="inlineStr">
        <is>
          <t>MALÅ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45162</v>
      </c>
      <c r="E299" s="1" t="n">
        <v>46320</v>
      </c>
      <c r="F299" t="inlineStr">
        <is>
          <t>VÄSTERBOTTENS LÄN</t>
        </is>
      </c>
      <c r="G299" t="inlineStr">
        <is>
          <t>MALÅ</t>
        </is>
      </c>
      <c r="I299" t="n">
        <v>17.5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46320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11.5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46320</v>
      </c>
      <c r="F301" t="inlineStr">
        <is>
          <t>VÄSTERBOTTENS LÄN</t>
        </is>
      </c>
      <c r="G301" t="inlineStr">
        <is>
          <t>MALÅ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45152</v>
      </c>
      <c r="E302" s="1" t="n">
        <v>46320</v>
      </c>
      <c r="F302" t="inlineStr">
        <is>
          <t>VÄSTERBOTTENS LÄN</t>
        </is>
      </c>
      <c r="G302" t="inlineStr">
        <is>
          <t>MALÅ</t>
        </is>
      </c>
      <c r="I302" t="n">
        <v>13.3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46320</v>
      </c>
      <c r="F303" t="inlineStr">
        <is>
          <t>VÄSTERBOTTENS LÄN</t>
        </is>
      </c>
      <c r="G303" t="inlineStr">
        <is>
          <t>MALÅ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45601</v>
      </c>
      <c r="E304" s="1" t="n">
        <v>46320</v>
      </c>
      <c r="F304" t="inlineStr">
        <is>
          <t>VÄSTERBOTTENS LÄN</t>
        </is>
      </c>
      <c r="G304" t="inlineStr">
        <is>
          <t>MALÅ</t>
        </is>
      </c>
      <c r="H304" t="inlineStr">
        <is>
          <t>SCA</t>
        </is>
      </c>
      <c r="I304" t="n">
        <v>25.9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45170</v>
      </c>
      <c r="E305" s="1" t="n">
        <v>46320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46320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46320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45101-2023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45190</v>
      </c>
      <c r="E308" s="1" t="n">
        <v>46320</v>
      </c>
      <c r="F308" t="inlineStr">
        <is>
          <t>VÄSTERBOTTENS LÄN</t>
        </is>
      </c>
      <c r="G308" t="inlineStr">
        <is>
          <t>MALÅ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46320</v>
      </c>
      <c r="F309" t="inlineStr">
        <is>
          <t>VÄSTERBOTTENS LÄN</t>
        </is>
      </c>
      <c r="G309" t="inlineStr">
        <is>
          <t>MALÅ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45153</v>
      </c>
      <c r="E310" s="1" t="n">
        <v>46320</v>
      </c>
      <c r="F310" t="inlineStr">
        <is>
          <t>VÄSTERBOTTENS LÄN</t>
        </is>
      </c>
      <c r="G310" t="inlineStr">
        <is>
          <t>MALÅ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46377-2023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45193</v>
      </c>
      <c r="E311" s="1" t="n">
        <v>46320</v>
      </c>
      <c r="F311" t="inlineStr">
        <is>
          <t>VÄSTERBOTTENS LÄN</t>
        </is>
      </c>
      <c r="G311" t="inlineStr">
        <is>
          <t>MALÅ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46393-2023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45193</v>
      </c>
      <c r="E312" s="1" t="n">
        <v>46320</v>
      </c>
      <c r="F312" t="inlineStr">
        <is>
          <t>VÄSTERBOTTENS LÄN</t>
        </is>
      </c>
      <c r="G312" t="inlineStr">
        <is>
          <t>MALÅ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46320</v>
      </c>
      <c r="F313" t="inlineStr">
        <is>
          <t>VÄSTERBOTTENS LÄN</t>
        </is>
      </c>
      <c r="G313" t="inlineStr">
        <is>
          <t>MALÅ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45196</v>
      </c>
      <c r="E314" s="1" t="n">
        <v>46320</v>
      </c>
      <c r="F314" t="inlineStr">
        <is>
          <t>VÄSTERBOTTENS LÄN</t>
        </is>
      </c>
      <c r="G314" t="inlineStr">
        <is>
          <t>MALÅ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45182</v>
      </c>
      <c r="E315" s="1" t="n">
        <v>46320</v>
      </c>
      <c r="F315" t="inlineStr">
        <is>
          <t>VÄSTERBOTTENS LÄN</t>
        </is>
      </c>
      <c r="G315" t="inlineStr">
        <is>
          <t>MALÅ</t>
        </is>
      </c>
      <c r="I315" t="n">
        <v>10.5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46320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46320</v>
      </c>
      <c r="F317" t="inlineStr">
        <is>
          <t>VÄSTERBOTTENS LÄN</t>
        </is>
      </c>
      <c r="G317" t="inlineStr">
        <is>
          <t>MALÅ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45193</v>
      </c>
      <c r="E318" s="1" t="n">
        <v>46320</v>
      </c>
      <c r="F318" t="inlineStr">
        <is>
          <t>VÄSTERBOTTENS LÄN</t>
        </is>
      </c>
      <c r="G318" t="inlineStr">
        <is>
          <t>MALÅ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45625</v>
      </c>
      <c r="E319" s="1" t="n">
        <v>46320</v>
      </c>
      <c r="F319" t="inlineStr">
        <is>
          <t>VÄSTERBOTTENS LÄN</t>
        </is>
      </c>
      <c r="G319" t="inlineStr">
        <is>
          <t>MALÅ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46320</v>
      </c>
      <c r="F320" t="inlineStr">
        <is>
          <t>VÄSTERBOTTENS LÄN</t>
        </is>
      </c>
      <c r="G320" t="inlineStr">
        <is>
          <t>MALÅ</t>
        </is>
      </c>
      <c r="I320" t="n">
        <v>16.2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46280-2023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46320</v>
      </c>
      <c r="F321" t="inlineStr">
        <is>
          <t>VÄSTERBOTTENS LÄN</t>
        </is>
      </c>
      <c r="G321" t="inlineStr">
        <is>
          <t>MALÅ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46320</v>
      </c>
      <c r="F322" t="inlineStr">
        <is>
          <t>VÄSTERBOTTENS LÄN</t>
        </is>
      </c>
      <c r="G322" t="inlineStr">
        <is>
          <t>MALÅ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46320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46320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32767-2024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45516</v>
      </c>
      <c r="E325" s="1" t="n">
        <v>46320</v>
      </c>
      <c r="F325" t="inlineStr">
        <is>
          <t>VÄSTERBOTTENS LÄN</t>
        </is>
      </c>
      <c r="G325" t="inlineStr">
        <is>
          <t>MALÅ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45812-2023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46320</v>
      </c>
      <c r="F326" t="inlineStr">
        <is>
          <t>VÄSTERBOTTENS LÄN</t>
        </is>
      </c>
      <c r="G326" t="inlineStr">
        <is>
          <t>MALÅ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45232</v>
      </c>
      <c r="E327" s="1" t="n">
        <v>46320</v>
      </c>
      <c r="F327" t="inlineStr">
        <is>
          <t>VÄSTERBOTTENS LÄN</t>
        </is>
      </c>
      <c r="G327" t="inlineStr">
        <is>
          <t>MALÅ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46320</v>
      </c>
      <c r="F328" t="inlineStr">
        <is>
          <t>VÄSTERBOTTENS LÄN</t>
        </is>
      </c>
      <c r="G328" t="inlineStr">
        <is>
          <t>MALÅ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45167</v>
      </c>
      <c r="E329" s="1" t="n">
        <v>46320</v>
      </c>
      <c r="F329" t="inlineStr">
        <is>
          <t>VÄSTERBOTTENS LÄN</t>
        </is>
      </c>
      <c r="G329" t="inlineStr">
        <is>
          <t>MALÅ</t>
        </is>
      </c>
      <c r="I329" t="n">
        <v>10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45166</v>
      </c>
      <c r="E330" s="1" t="n">
        <v>46320</v>
      </c>
      <c r="F330" t="inlineStr">
        <is>
          <t>VÄSTERBOTTENS LÄN</t>
        </is>
      </c>
      <c r="G330" t="inlineStr">
        <is>
          <t>MALÅ</t>
        </is>
      </c>
      <c r="H330" t="inlineStr">
        <is>
          <t>Kyrkan</t>
        </is>
      </c>
      <c r="I330" t="n">
        <v>27.3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46320</v>
      </c>
      <c r="F331" t="inlineStr">
        <is>
          <t>VÄSTERBOTTENS LÄN</t>
        </is>
      </c>
      <c r="G331" t="inlineStr">
        <is>
          <t>MALÅ</t>
        </is>
      </c>
      <c r="H331" t="inlineStr">
        <is>
          <t>Kyrkan</t>
        </is>
      </c>
      <c r="I331" t="n">
        <v>84.5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38999-2023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45162</v>
      </c>
      <c r="E332" s="1" t="n">
        <v>46320</v>
      </c>
      <c r="F332" t="inlineStr">
        <is>
          <t>VÄSTERBOTTENS LÄN</t>
        </is>
      </c>
      <c r="G332" t="inlineStr">
        <is>
          <t>MALÅ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45225</v>
      </c>
      <c r="E333" s="1" t="n">
        <v>46320</v>
      </c>
      <c r="F333" t="inlineStr">
        <is>
          <t>VÄSTERBOTTENS LÄN</t>
        </is>
      </c>
      <c r="G333" t="inlineStr">
        <is>
          <t>MALÅ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41852-2023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46320</v>
      </c>
      <c r="F334" t="inlineStr">
        <is>
          <t>VÄSTERBOTTENS LÄN</t>
        </is>
      </c>
      <c r="G334" t="inlineStr">
        <is>
          <t>MALÅ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46320</v>
      </c>
      <c r="F335" t="inlineStr">
        <is>
          <t>VÄSTERBOTTENS LÄN</t>
        </is>
      </c>
      <c r="G335" t="inlineStr">
        <is>
          <t>MALÅ</t>
        </is>
      </c>
      <c r="I335" t="n">
        <v>147.1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46320</v>
      </c>
      <c r="F336" t="inlineStr">
        <is>
          <t>VÄSTERBOTTENS LÄN</t>
        </is>
      </c>
      <c r="G336" t="inlineStr">
        <is>
          <t>MALÅ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45229</v>
      </c>
      <c r="E337" s="1" t="n">
        <v>46320</v>
      </c>
      <c r="F337" t="inlineStr">
        <is>
          <t>VÄSTERBOTTENS LÄN</t>
        </is>
      </c>
      <c r="G337" t="inlineStr">
        <is>
          <t>MALÅ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45741</v>
      </c>
      <c r="E338" s="1" t="n">
        <v>46320</v>
      </c>
      <c r="F338" t="inlineStr">
        <is>
          <t>VÄSTERBOTTENS LÄN</t>
        </is>
      </c>
      <c r="G338" t="inlineStr">
        <is>
          <t>MALÅ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46320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46320</v>
      </c>
      <c r="F340" t="inlineStr">
        <is>
          <t>VÄSTERBOTTENS LÄN</t>
        </is>
      </c>
      <c r="G340" t="inlineStr">
        <is>
          <t>MALÅ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45694</v>
      </c>
      <c r="E341" s="1" t="n">
        <v>46320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44575</v>
      </c>
      <c r="E342" s="1" t="n">
        <v>46320</v>
      </c>
      <c r="F342" t="inlineStr">
        <is>
          <t>VÄSTERBOTTENS LÄN</t>
        </is>
      </c>
      <c r="G342" t="inlineStr">
        <is>
          <t>MALÅ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46320</v>
      </c>
      <c r="F343" t="inlineStr">
        <is>
          <t>VÄSTERBOTTENS LÄN</t>
        </is>
      </c>
      <c r="G343" t="inlineStr">
        <is>
          <t>MALÅ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44967</v>
      </c>
      <c r="E344" s="1" t="n">
        <v>46320</v>
      </c>
      <c r="F344" t="inlineStr">
        <is>
          <t>VÄSTERBOTTENS LÄN</t>
        </is>
      </c>
      <c r="G344" t="inlineStr">
        <is>
          <t>MALÅ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45167</v>
      </c>
      <c r="E345" s="1" t="n">
        <v>46320</v>
      </c>
      <c r="F345" t="inlineStr">
        <is>
          <t>VÄSTERBOTTENS LÄN</t>
        </is>
      </c>
      <c r="G345" t="inlineStr">
        <is>
          <t>MALÅ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45159</v>
      </c>
      <c r="E346" s="1" t="n">
        <v>46320</v>
      </c>
      <c r="F346" t="inlineStr">
        <is>
          <t>VÄSTERBOTTENS LÄN</t>
        </is>
      </c>
      <c r="G346" t="inlineStr">
        <is>
          <t>MALÅ</t>
        </is>
      </c>
      <c r="I346" t="n">
        <v>9.699999999999999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46320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46320</v>
      </c>
      <c r="F348" t="inlineStr">
        <is>
          <t>VÄSTERBOTTENS LÄN</t>
        </is>
      </c>
      <c r="G348" t="inlineStr">
        <is>
          <t>MALÅ</t>
        </is>
      </c>
      <c r="H348" t="inlineStr">
        <is>
          <t>Sveaskog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53376-2023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45229</v>
      </c>
      <c r="E349" s="1" t="n">
        <v>46320</v>
      </c>
      <c r="F349" t="inlineStr">
        <is>
          <t>VÄSTERBOTTENS LÄN</t>
        </is>
      </c>
      <c r="G349" t="inlineStr">
        <is>
          <t>MALÅ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894-2022</t>
        </is>
      </c>
      <c r="B350" t="inlineStr">
        <is>
          <t>samrådsanmälan</t>
        </is>
      </c>
      <c r="C350" t="inlineStr">
        <is>
          <t>Skogsgödsling</t>
        </is>
      </c>
      <c r="D350" s="1" t="n">
        <v>44607</v>
      </c>
      <c r="E350" s="1" t="n">
        <v>46320</v>
      </c>
      <c r="F350" t="inlineStr">
        <is>
          <t>VÄSTERBOTTENS LÄN</t>
        </is>
      </c>
      <c r="G350" t="inlineStr">
        <is>
          <t>MALÅ</t>
        </is>
      </c>
      <c r="H350" t="inlineStr">
        <is>
          <t>SCA</t>
        </is>
      </c>
      <c r="I350" t="n">
        <v>86.3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2026-10-25T02:06:48Z</dcterms:created>
  <dcterms:modified xmlns:dcterms="http://purl.org/dc/terms/" xmlns:xsi="http://www.w3.org/2001/XMLSchema-instance" xsi:type="dcterms:W3CDTF">2026-10-25T02:06:48Z</dcterms:modified>
</cp:coreProperties>
</file>