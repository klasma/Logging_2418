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46231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Grantaggsvamp</t>
        </is>
      </c>
      <c r="W6">
        <f>HYPERLINK("https://klasma.github.io/Logging_2418/artfynd/A 5658-2026 artfynd.xlsx", "A 5658-2026")</f>
        <v/>
      </c>
      <c r="X6">
        <f>HYPERLINK("https://klasma.github.io/Logging_2418/kartor/A 5658-2026 karta.png", "A 5658-2026")</f>
        <v/>
      </c>
      <c r="Y6">
        <f>HYPERLINK("https://klasma.github.io/Logging_2418/kartor_geotiff/A 5658-2026 georefererad karta.tif", "A 5658-2026")</f>
        <v/>
      </c>
      <c r="AA6">
        <f>HYPERLINK("https://klasma.github.io/Logging_2418/klagomål/A 5658-2026 FSC-klagomål.docx", "A 5658-2026")</f>
        <v/>
      </c>
      <c r="AB6">
        <f>HYPERLINK("https://klasma.github.io/Logging_2418/klagomålsmail/A 5658-2026 FSC-klagomål mail.docx", "A 5658-2026")</f>
        <v/>
      </c>
      <c r="AC6">
        <f>HYPERLINK("https://klasma.github.io/Logging_2418/tillsyn/A 5658-2026 tillsynsbegäran.docx", "A 5658-2026")</f>
        <v/>
      </c>
      <c r="AD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46231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46231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46231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Robust tickgnagare</t>
        </is>
      </c>
      <c r="W9">
        <f>HYPERLINK("https://klasma.github.io/Logging_2418/artfynd/A 41840-2023 artfynd.xlsx", "A 41840-2023")</f>
        <v/>
      </c>
      <c r="X9">
        <f>HYPERLINK("https://klasma.github.io/Logging_2418/kartor/A 41840-2023 karta.png", "A 41840-2023")</f>
        <v/>
      </c>
      <c r="Y9">
        <f>HYPERLINK("https://klasma.github.io/Logging_2418/kartor_geotiff/A 41840-2023 georefererad karta.tif", "A 41840-2023")</f>
        <v/>
      </c>
      <c r="AA9">
        <f>HYPERLINK("https://klasma.github.io/Logging_2418/klagomål/A 41840-2023 FSC-klagomål.docx", "A 41840-2023")</f>
        <v/>
      </c>
      <c r="AB9">
        <f>HYPERLINK("https://klasma.github.io/Logging_2418/klagomålsmail/A 41840-2023 FSC-klagomål mail.docx", "A 41840-2023")</f>
        <v/>
      </c>
      <c r="AC9">
        <f>HYPERLINK("https://klasma.github.io/Logging_2418/tillsyn/A 41840-2023 tillsynsbegäran.docx", "A 41840-2023")</f>
        <v/>
      </c>
      <c r="AD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46231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Norna</t>
        </is>
      </c>
      <c r="W10">
        <f>HYPERLINK("https://klasma.github.io/Logging_2418/artfynd/A 49370-2021 artfynd.xlsx", "A 49370-2021")</f>
        <v/>
      </c>
      <c r="X10">
        <f>HYPERLINK("https://klasma.github.io/Logging_2418/kartor/A 49370-2021 karta.png", "A 49370-2021")</f>
        <v/>
      </c>
      <c r="Y10">
        <f>HYPERLINK("https://klasma.github.io/Logging_2418/kartor_geotiff/A 49370-2021 georefererad karta.tif", "A 49370-2021")</f>
        <v/>
      </c>
      <c r="AA10">
        <f>HYPERLINK("https://klasma.github.io/Logging_2418/klagomål/A 49370-2021 FSC-klagomål.docx", "A 49370-2021")</f>
        <v/>
      </c>
      <c r="AB10">
        <f>HYPERLINK("https://klasma.github.io/Logging_2418/klagomålsmail/A 49370-2021 FSC-klagomål mail.docx", "A 49370-2021")</f>
        <v/>
      </c>
      <c r="AC10">
        <f>HYPERLINK("https://klasma.github.io/Logging_2418/tillsyn/A 49370-2021 tillsynsbegäran.docx", "A 49370-2021")</f>
        <v/>
      </c>
      <c r="AD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46231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Gammelgransskål</t>
        </is>
      </c>
      <c r="W11">
        <f>HYPERLINK("https://klasma.github.io/Logging_2418/artfynd/A 52129-2024 artfynd.xlsx", "A 52129-2024")</f>
        <v/>
      </c>
      <c r="X11">
        <f>HYPERLINK("https://klasma.github.io/Logging_2418/kartor/A 52129-2024 karta.png", "A 52129-2024")</f>
        <v/>
      </c>
      <c r="Y11">
        <f>HYPERLINK("https://klasma.github.io/Logging_2418/kartor_geotiff/A 52129-2024 georefererad karta.tif", "A 52129-2024")</f>
        <v/>
      </c>
      <c r="AA11">
        <f>HYPERLINK("https://klasma.github.io/Logging_2418/klagomål/A 52129-2024 FSC-klagomål.docx", "A 52129-2024")</f>
        <v/>
      </c>
      <c r="AB11">
        <f>HYPERLINK("https://klasma.github.io/Logging_2418/klagomålsmail/A 52129-2024 FSC-klagomål mail.docx", "A 52129-2024")</f>
        <v/>
      </c>
      <c r="AC11">
        <f>HYPERLINK("https://klasma.github.io/Logging_2418/tillsyn/A 52129-2024 tillsynsbegäran.docx", "A 52129-2024")</f>
        <v/>
      </c>
      <c r="AD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46231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46231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46231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46231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46231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46231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46231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46231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46231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46231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46231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45549-2021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44440</v>
      </c>
      <c r="E23" s="1" t="n">
        <v>46231</v>
      </c>
      <c r="F23" t="inlineStr">
        <is>
          <t>VÄSTERBOTTENS LÄN</t>
        </is>
      </c>
      <c r="G23" t="inlineStr">
        <is>
          <t>MALÅ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46231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46231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46231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46231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46231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46231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48.3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13004-2023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46231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46231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33690-2024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45520</v>
      </c>
      <c r="E32" s="1" t="n">
        <v>46231</v>
      </c>
      <c r="F32" t="inlineStr">
        <is>
          <t>VÄSTERBOTTENS LÄN</t>
        </is>
      </c>
      <c r="G32" t="inlineStr">
        <is>
          <t>MALÅ</t>
        </is>
      </c>
      <c r="H32" t="inlineStr">
        <is>
          <t>Sveaskog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41360-2023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46231</v>
      </c>
      <c r="F33" t="inlineStr">
        <is>
          <t>VÄSTERBOTTENS LÄN</t>
        </is>
      </c>
      <c r="G33" t="inlineStr">
        <is>
          <t>MALÅ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45238</v>
      </c>
      <c r="E34" s="1" t="n">
        <v>46231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45098</v>
      </c>
      <c r="E35" s="1" t="n">
        <v>46231</v>
      </c>
      <c r="F35" t="inlineStr">
        <is>
          <t>VÄSTERBOTTENS LÄN</t>
        </is>
      </c>
      <c r="G35" t="inlineStr">
        <is>
          <t>MALÅ</t>
        </is>
      </c>
      <c r="I35" t="n">
        <v>10.5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31273-2024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45504</v>
      </c>
      <c r="E36" s="1" t="n">
        <v>46231</v>
      </c>
      <c r="F36" t="inlineStr">
        <is>
          <t>VÄSTERBOTTENS LÄN</t>
        </is>
      </c>
      <c r="G36" t="inlineStr">
        <is>
          <t>MALÅ</t>
        </is>
      </c>
      <c r="I36" t="n">
        <v>9.800000000000001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46027</v>
      </c>
      <c r="E37" s="1" t="n">
        <v>46231</v>
      </c>
      <c r="F37" t="inlineStr">
        <is>
          <t>VÄSTERBOTTENS LÄN</t>
        </is>
      </c>
      <c r="G37" t="inlineStr">
        <is>
          <t>MALÅ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24924-2025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46231</v>
      </c>
      <c r="F38" t="inlineStr">
        <is>
          <t>VÄSTERBOTTENS LÄN</t>
        </is>
      </c>
      <c r="G38" t="inlineStr">
        <is>
          <t>MALÅ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46027</v>
      </c>
      <c r="E39" s="1" t="n">
        <v>46231</v>
      </c>
      <c r="F39" t="inlineStr">
        <is>
          <t>VÄSTERBOTTENS LÄN</t>
        </is>
      </c>
      <c r="G39" t="inlineStr">
        <is>
          <t>MALÅ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46231</v>
      </c>
      <c r="F40" t="inlineStr">
        <is>
          <t>VÄSTERBOTTENS LÄN</t>
        </is>
      </c>
      <c r="G40" t="inlineStr">
        <is>
          <t>MALÅ</t>
        </is>
      </c>
      <c r="I40" t="n">
        <v>8.199999999999999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46231</v>
      </c>
      <c r="F41" t="inlineStr">
        <is>
          <t>VÄSTERBOTTENS LÄN</t>
        </is>
      </c>
      <c r="G41" t="inlineStr">
        <is>
          <t>MALÅ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46231</v>
      </c>
      <c r="F42" t="inlineStr">
        <is>
          <t>VÄSTERBOTTENS LÄN</t>
        </is>
      </c>
      <c r="G42" t="inlineStr">
        <is>
          <t>MALÅ</t>
        </is>
      </c>
      <c r="I42" t="n">
        <v>10.8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46031</v>
      </c>
      <c r="E43" s="1" t="n">
        <v>46231</v>
      </c>
      <c r="F43" t="inlineStr">
        <is>
          <t>VÄSTERBOTTENS LÄN</t>
        </is>
      </c>
      <c r="G43" t="inlineStr">
        <is>
          <t>MALÅ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1325-2026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46231</v>
      </c>
      <c r="F44" t="inlineStr">
        <is>
          <t>VÄSTERBOTTENS LÄN</t>
        </is>
      </c>
      <c r="G44" t="inlineStr">
        <is>
          <t>MALÅ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58240-2022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46231</v>
      </c>
      <c r="F45" t="inlineStr">
        <is>
          <t>VÄSTERBOTTENS LÄN</t>
        </is>
      </c>
      <c r="G45" t="inlineStr">
        <is>
          <t>MALÅ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46035</v>
      </c>
      <c r="E46" s="1" t="n">
        <v>46231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36706-2023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46231</v>
      </c>
      <c r="F47" t="inlineStr">
        <is>
          <t>VÄSTERBOTTENS LÄN</t>
        </is>
      </c>
      <c r="G47" t="inlineStr">
        <is>
          <t>MALÅ</t>
        </is>
      </c>
      <c r="I47" t="n">
        <v>41.7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3471-2026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46042</v>
      </c>
      <c r="E48" s="1" t="n">
        <v>46231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7.5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48089-2024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45589</v>
      </c>
      <c r="E49" s="1" t="n">
        <v>46231</v>
      </c>
      <c r="F49" t="inlineStr">
        <is>
          <t>VÄSTERBOTTENS LÄN</t>
        </is>
      </c>
      <c r="G49" t="inlineStr">
        <is>
          <t>MALÅ</t>
        </is>
      </c>
      <c r="H49" t="inlineStr">
        <is>
          <t>SCA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44928</v>
      </c>
      <c r="E50" s="1" t="n">
        <v>46231</v>
      </c>
      <c r="F50" t="inlineStr">
        <is>
          <t>VÄSTERBOTTENS LÄN</t>
        </is>
      </c>
      <c r="G50" t="inlineStr">
        <is>
          <t>MALÅ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45161</v>
      </c>
      <c r="E51" s="1" t="n">
        <v>46231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63.6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40370-2023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46231</v>
      </c>
      <c r="F52" t="inlineStr">
        <is>
          <t>VÄSTERBOTTENS LÄN</t>
        </is>
      </c>
      <c r="G52" t="inlineStr">
        <is>
          <t>MALÅ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32772-2024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45516</v>
      </c>
      <c r="E53" s="1" t="n">
        <v>46231</v>
      </c>
      <c r="F53" t="inlineStr">
        <is>
          <t>VÄSTERBOTTENS LÄN</t>
        </is>
      </c>
      <c r="G53" t="inlineStr">
        <is>
          <t>MALÅ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34413-2023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45139</v>
      </c>
      <c r="E54" s="1" t="n">
        <v>46231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20234-2023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45054</v>
      </c>
      <c r="E55" s="1" t="n">
        <v>46231</v>
      </c>
      <c r="F55" t="inlineStr">
        <is>
          <t>VÄSTERBOTTENS LÄN</t>
        </is>
      </c>
      <c r="G55" t="inlineStr">
        <is>
          <t>MALÅ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8648-2026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46066</v>
      </c>
      <c r="E56" s="1" t="n">
        <v>46231</v>
      </c>
      <c r="F56" t="inlineStr">
        <is>
          <t>VÄSTERBOTTENS LÄN</t>
        </is>
      </c>
      <c r="G56" t="inlineStr">
        <is>
          <t>MALÅ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46066</v>
      </c>
      <c r="E57" s="1" t="n">
        <v>46231</v>
      </c>
      <c r="F57" t="inlineStr">
        <is>
          <t>VÄSTERBOTTENS LÄN</t>
        </is>
      </c>
      <c r="G57" t="inlineStr">
        <is>
          <t>MALÅ</t>
        </is>
      </c>
      <c r="H57" t="inlineStr">
        <is>
          <t>SCA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9311-2026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46070</v>
      </c>
      <c r="E58" s="1" t="n">
        <v>46231</v>
      </c>
      <c r="F58" t="inlineStr">
        <is>
          <t>VÄSTERBOTTENS LÄN</t>
        </is>
      </c>
      <c r="G58" t="inlineStr">
        <is>
          <t>MALÅ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46231</v>
      </c>
      <c r="F59" t="inlineStr">
        <is>
          <t>VÄSTERBOTTENS LÄN</t>
        </is>
      </c>
      <c r="G59" t="inlineStr">
        <is>
          <t>MALÅ</t>
        </is>
      </c>
      <c r="I59" t="n">
        <v>73.7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53657-2023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45230</v>
      </c>
      <c r="E60" s="1" t="n">
        <v>46231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46072</v>
      </c>
      <c r="E61" s="1" t="n">
        <v>46231</v>
      </c>
      <c r="F61" t="inlineStr">
        <is>
          <t>VÄSTERBOTTENS LÄN</t>
        </is>
      </c>
      <c r="G61" t="inlineStr">
        <is>
          <t>MALÅ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46231</v>
      </c>
      <c r="F62" t="inlineStr">
        <is>
          <t>VÄSTERBOTTENS LÄN</t>
        </is>
      </c>
      <c r="G62" t="inlineStr">
        <is>
          <t>MALÅ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44893</v>
      </c>
      <c r="E63" s="1" t="n">
        <v>46231</v>
      </c>
      <c r="F63" t="inlineStr">
        <is>
          <t>VÄSTERBOTTENS LÄN</t>
        </is>
      </c>
      <c r="G63" t="inlineStr">
        <is>
          <t>MALÅ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45174</v>
      </c>
      <c r="E64" s="1" t="n">
        <v>46231</v>
      </c>
      <c r="F64" t="inlineStr">
        <is>
          <t>VÄSTERBOTTENS LÄN</t>
        </is>
      </c>
      <c r="G64" t="inlineStr">
        <is>
          <t>MALÅ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  <c r="Z64">
        <f>HYPERLINK("https://klasma.github.io/Logging_2418/knärot/A 41353-2023 karta knärot.png", "A 41353-2023")</f>
        <v/>
      </c>
      <c r="AA64">
        <f>HYPERLINK("https://klasma.github.io/Logging_2418/klagomål/A 41353-2023 FSC-klagomål.docx", "A 41353-2023")</f>
        <v/>
      </c>
      <c r="AB64">
        <f>HYPERLINK("https://klasma.github.io/Logging_2418/klagomålsmail/A 41353-2023 FSC-klagomål mail.docx", "A 41353-2023")</f>
        <v/>
      </c>
      <c r="AC64">
        <f>HYPERLINK("https://klasma.github.io/Logging_2418/tillsyn/A 41353-2023 tillsynsbegäran.docx", "A 41353-2023")</f>
        <v/>
      </c>
      <c r="AD64">
        <f>HYPERLINK("https://klasma.github.io/Logging_2418/tillsynsmail/A 41353-2023 tillsynsbegäran mail.docx", "A 41353-2023")</f>
        <v/>
      </c>
    </row>
    <row r="65" ht="15" customHeight="1">
      <c r="A65" t="inlineStr">
        <is>
          <t>A 35728-2025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45860</v>
      </c>
      <c r="E65" s="1" t="n">
        <v>46231</v>
      </c>
      <c r="F65" t="inlineStr">
        <is>
          <t>VÄSTERBOTTENS LÄN</t>
        </is>
      </c>
      <c r="G65" t="inlineStr">
        <is>
          <t>MALÅ</t>
        </is>
      </c>
      <c r="H65" t="inlineStr">
        <is>
          <t>Sveaskog</t>
        </is>
      </c>
      <c r="I65" t="n">
        <v>14.8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35723-2025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45860</v>
      </c>
      <c r="E66" s="1" t="n">
        <v>46231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35851-2025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45861</v>
      </c>
      <c r="E67" s="1" t="n">
        <v>46231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35844-2025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45861</v>
      </c>
      <c r="E68" s="1" t="n">
        <v>46231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46231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35845-2025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45861</v>
      </c>
      <c r="E70" s="1" t="n">
        <v>46231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45861</v>
      </c>
      <c r="E71" s="1" t="n">
        <v>46231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37327-2023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45154</v>
      </c>
      <c r="E72" s="1" t="n">
        <v>46231</v>
      </c>
      <c r="F72" t="inlineStr">
        <is>
          <t>VÄSTERBOTTENS LÄN</t>
        </is>
      </c>
      <c r="G72" t="inlineStr">
        <is>
          <t>MALÅ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11704-2026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46084</v>
      </c>
      <c r="E73" s="1" t="n">
        <v>46231</v>
      </c>
      <c r="F73" t="inlineStr">
        <is>
          <t>VÄSTERBOTTENS LÄN</t>
        </is>
      </c>
      <c r="G73" t="inlineStr">
        <is>
          <t>MALÅ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46231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39627-2025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46231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36286-2025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45867</v>
      </c>
      <c r="E76" s="1" t="n">
        <v>46231</v>
      </c>
      <c r="F76" t="inlineStr">
        <is>
          <t>VÄSTERBOTTENS LÄN</t>
        </is>
      </c>
      <c r="G76" t="inlineStr">
        <is>
          <t>MALÅ</t>
        </is>
      </c>
      <c r="I76" t="n">
        <v>8.300000000000001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39614-2025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45890</v>
      </c>
      <c r="E77" s="1" t="n">
        <v>46231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7.4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45154</v>
      </c>
      <c r="E78" s="1" t="n">
        <v>46231</v>
      </c>
      <c r="F78" t="inlineStr">
        <is>
          <t>VÄSTERBOTTENS LÄN</t>
        </is>
      </c>
      <c r="G78" t="inlineStr">
        <is>
          <t>MALÅ</t>
        </is>
      </c>
      <c r="I78" t="n">
        <v>8.9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31088-2024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45502</v>
      </c>
      <c r="E79" s="1" t="n">
        <v>46231</v>
      </c>
      <c r="F79" t="inlineStr">
        <is>
          <t>VÄSTERBOTTENS LÄN</t>
        </is>
      </c>
      <c r="G79" t="inlineStr">
        <is>
          <t>MALÅ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46231</v>
      </c>
      <c r="F80" t="inlineStr">
        <is>
          <t>VÄSTERBOTTENS LÄN</t>
        </is>
      </c>
      <c r="G80" t="inlineStr">
        <is>
          <t>MALÅ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45875</v>
      </c>
      <c r="E81" s="1" t="n">
        <v>46231</v>
      </c>
      <c r="F81" t="inlineStr">
        <is>
          <t>VÄSTERBOTTENS LÄN</t>
        </is>
      </c>
      <c r="G81" t="inlineStr">
        <is>
          <t>MALÅ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44964</v>
      </c>
      <c r="E82" s="1" t="n">
        <v>46231</v>
      </c>
      <c r="F82" t="inlineStr">
        <is>
          <t>VÄSTERBOTTENS LÄN</t>
        </is>
      </c>
      <c r="G82" t="inlineStr">
        <is>
          <t>MALÅ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49434-2023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45211</v>
      </c>
      <c r="E83" s="1" t="n">
        <v>46231</v>
      </c>
      <c r="F83" t="inlineStr">
        <is>
          <t>VÄSTERBOTTENS LÄN</t>
        </is>
      </c>
      <c r="G83" t="inlineStr">
        <is>
          <t>MALÅ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46231</v>
      </c>
      <c r="F84" t="inlineStr">
        <is>
          <t>VÄSTERBOTTENS LÄN</t>
        </is>
      </c>
      <c r="G84" t="inlineStr">
        <is>
          <t>MALÅ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13775-2026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46231</v>
      </c>
      <c r="F85" t="inlineStr">
        <is>
          <t>VÄSTERBOTTENS LÄN</t>
        </is>
      </c>
      <c r="G85" t="inlineStr">
        <is>
          <t>MALÅ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45694</v>
      </c>
      <c r="E86" s="1" t="n">
        <v>46231</v>
      </c>
      <c r="F86" t="inlineStr">
        <is>
          <t>VÄSTERBOTTENS LÄN</t>
        </is>
      </c>
      <c r="G86" t="inlineStr">
        <is>
          <t>MALÅ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44792</v>
      </c>
      <c r="E87" s="1" t="n">
        <v>46231</v>
      </c>
      <c r="F87" t="inlineStr">
        <is>
          <t>VÄSTERBOTTENS LÄN</t>
        </is>
      </c>
      <c r="G87" t="inlineStr">
        <is>
          <t>MALÅ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41852-2023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45174</v>
      </c>
      <c r="E88" s="1" t="n">
        <v>46231</v>
      </c>
      <c r="F88" t="inlineStr">
        <is>
          <t>VÄSTERBOTTENS LÄN</t>
        </is>
      </c>
      <c r="G88" t="inlineStr">
        <is>
          <t>MALÅ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59866-2021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44491</v>
      </c>
      <c r="E89" s="1" t="n">
        <v>46231</v>
      </c>
      <c r="F89" t="inlineStr">
        <is>
          <t>VÄSTERBOTTENS LÄN</t>
        </is>
      </c>
      <c r="G89" t="inlineStr">
        <is>
          <t>MALÅ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60520-2024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45643</v>
      </c>
      <c r="E90" s="1" t="n">
        <v>46231</v>
      </c>
      <c r="F90" t="inlineStr">
        <is>
          <t>VÄSTERBOTTENS LÄN</t>
        </is>
      </c>
      <c r="G90" t="inlineStr">
        <is>
          <t>MALÅ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46231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15286-2026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46105</v>
      </c>
      <c r="E92" s="1" t="n">
        <v>46231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9.1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41198-2025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46231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22.4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46231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17.6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45176</v>
      </c>
      <c r="E95" s="1" t="n">
        <v>46231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41191-2025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45898</v>
      </c>
      <c r="E96" s="1" t="n">
        <v>46231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13.8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12797-2023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45000</v>
      </c>
      <c r="E97" s="1" t="n">
        <v>46231</v>
      </c>
      <c r="F97" t="inlineStr">
        <is>
          <t>VÄSTERBOTTENS LÄN</t>
        </is>
      </c>
      <c r="G97" t="inlineStr">
        <is>
          <t>MALÅ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48353-2023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46231</v>
      </c>
      <c r="F98" t="inlineStr">
        <is>
          <t>VÄSTERBOTTENS LÄN</t>
        </is>
      </c>
      <c r="G98" t="inlineStr">
        <is>
          <t>MALÅ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36743-2023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45153</v>
      </c>
      <c r="E99" s="1" t="n">
        <v>46231</v>
      </c>
      <c r="F99" t="inlineStr">
        <is>
          <t>VÄSTERBOTTENS LÄN</t>
        </is>
      </c>
      <c r="G99" t="inlineStr">
        <is>
          <t>MALÅ</t>
        </is>
      </c>
      <c r="I99" t="n">
        <v>15.7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36744-2023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45153</v>
      </c>
      <c r="E100" s="1" t="n">
        <v>46231</v>
      </c>
      <c r="F100" t="inlineStr">
        <is>
          <t>VÄSTERBOTTENS LÄN</t>
        </is>
      </c>
      <c r="G100" t="inlineStr">
        <is>
          <t>MALÅ</t>
        </is>
      </c>
      <c r="I100" t="n">
        <v>5.3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40943-2025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45897</v>
      </c>
      <c r="E101" s="1" t="n">
        <v>46231</v>
      </c>
      <c r="F101" t="inlineStr">
        <is>
          <t>VÄSTERBOTTENS LÄN</t>
        </is>
      </c>
      <c r="G101" t="inlineStr">
        <is>
          <t>MALÅ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42182-2023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45178</v>
      </c>
      <c r="E102" s="1" t="n">
        <v>46231</v>
      </c>
      <c r="F102" t="inlineStr">
        <is>
          <t>VÄSTERBOTTENS LÄN</t>
        </is>
      </c>
      <c r="G102" t="inlineStr">
        <is>
          <t>MALÅ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41559-2025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45901</v>
      </c>
      <c r="E103" s="1" t="n">
        <v>46231</v>
      </c>
      <c r="F103" t="inlineStr">
        <is>
          <t>VÄSTERBOTTENS LÄN</t>
        </is>
      </c>
      <c r="G103" t="inlineStr">
        <is>
          <t>MALÅ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32769-2024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45516</v>
      </c>
      <c r="E104" s="1" t="n">
        <v>46231</v>
      </c>
      <c r="F104" t="inlineStr">
        <is>
          <t>VÄSTERBOTTENS LÄN</t>
        </is>
      </c>
      <c r="G104" t="inlineStr">
        <is>
          <t>MALÅ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17020-2026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46114</v>
      </c>
      <c r="E105" s="1" t="n">
        <v>46231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19.7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13001-2023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45002</v>
      </c>
      <c r="E106" s="1" t="n">
        <v>46231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45639</v>
      </c>
      <c r="E107" s="1" t="n">
        <v>46231</v>
      </c>
      <c r="F107" t="inlineStr">
        <is>
          <t>VÄSTERBOTTENS LÄN</t>
        </is>
      </c>
      <c r="G107" t="inlineStr">
        <is>
          <t>MALÅ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43501-2023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46231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46231</v>
      </c>
      <c r="F109" t="inlineStr">
        <is>
          <t>VÄSTERBOTTENS LÄN</t>
        </is>
      </c>
      <c r="G109" t="inlineStr">
        <is>
          <t>MALÅ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38877-2023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46231</v>
      </c>
      <c r="F110" t="inlineStr">
        <is>
          <t>VÄSTERBOTTENS LÄN</t>
        </is>
      </c>
      <c r="G110" t="inlineStr">
        <is>
          <t>MALÅ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46231</v>
      </c>
      <c r="F111" t="inlineStr">
        <is>
          <t>VÄSTERBOTTENS LÄN</t>
        </is>
      </c>
      <c r="G111" t="inlineStr">
        <is>
          <t>MALÅ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46231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36124-2023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45149</v>
      </c>
      <c r="E113" s="1" t="n">
        <v>46231</v>
      </c>
      <c r="F113" t="inlineStr">
        <is>
          <t>VÄSTERBOTTENS LÄN</t>
        </is>
      </c>
      <c r="G113" t="inlineStr">
        <is>
          <t>MALÅ</t>
        </is>
      </c>
      <c r="I113" t="n">
        <v>26.9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46231</v>
      </c>
      <c r="F114" t="inlineStr">
        <is>
          <t>VÄSTERBOTTENS LÄN</t>
        </is>
      </c>
      <c r="G114" t="inlineStr">
        <is>
          <t>MALÅ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45642</v>
      </c>
      <c r="E115" s="1" t="n">
        <v>46231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46133</v>
      </c>
      <c r="E116" s="1" t="n">
        <v>46231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48322-2023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45201</v>
      </c>
      <c r="E117" s="1" t="n">
        <v>46231</v>
      </c>
      <c r="F117" t="inlineStr">
        <is>
          <t>VÄSTERBOTTENS LÄN</t>
        </is>
      </c>
      <c r="G117" t="inlineStr">
        <is>
          <t>MALÅ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19349-2026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46231</v>
      </c>
      <c r="F118" t="inlineStr">
        <is>
          <t>VÄSTERBOTTENS LÄN</t>
        </is>
      </c>
      <c r="G118" t="inlineStr">
        <is>
          <t>MALÅ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46231</v>
      </c>
      <c r="F119" t="inlineStr">
        <is>
          <t>VÄSTERBOTTENS LÄN</t>
        </is>
      </c>
      <c r="G119" t="inlineStr">
        <is>
          <t>MALÅ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46231</v>
      </c>
      <c r="F120" t="inlineStr">
        <is>
          <t>VÄSTERBOTTENS LÄN</t>
        </is>
      </c>
      <c r="G120" t="inlineStr">
        <is>
          <t>MALÅ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19286-2026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46133</v>
      </c>
      <c r="E121" s="1" t="n">
        <v>46231</v>
      </c>
      <c r="F121" t="inlineStr">
        <is>
          <t>VÄSTERBOTTENS LÄN</t>
        </is>
      </c>
      <c r="G121" t="inlineStr">
        <is>
          <t>MALÅ</t>
        </is>
      </c>
      <c r="H121" t="inlineStr">
        <is>
          <t>Sveaskog</t>
        </is>
      </c>
      <c r="I121" t="n">
        <v>55.9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19351-2026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46231</v>
      </c>
      <c r="F122" t="inlineStr">
        <is>
          <t>VÄSTERBOTTENS LÄN</t>
        </is>
      </c>
      <c r="G122" t="inlineStr">
        <is>
          <t>MALÅ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45160</v>
      </c>
      <c r="E123" s="1" t="n">
        <v>46231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21.8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45193</v>
      </c>
      <c r="E124" s="1" t="n">
        <v>46231</v>
      </c>
      <c r="F124" t="inlineStr">
        <is>
          <t>VÄSTERBOTTENS LÄN</t>
        </is>
      </c>
      <c r="G124" t="inlineStr">
        <is>
          <t>MALÅ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11299-2025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46231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37.2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45102-2023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45190</v>
      </c>
      <c r="E126" s="1" t="n">
        <v>46231</v>
      </c>
      <c r="F126" t="inlineStr">
        <is>
          <t>VÄSTERBOTTENS LÄN</t>
        </is>
      </c>
      <c r="G126" t="inlineStr">
        <is>
          <t>MALÅ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46231</v>
      </c>
      <c r="F127" t="inlineStr">
        <is>
          <t>VÄSTERBOTTENS LÄN</t>
        </is>
      </c>
      <c r="G127" t="inlineStr">
        <is>
          <t>MALÅ</t>
        </is>
      </c>
      <c r="I127" t="n">
        <v>48.2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45714</v>
      </c>
      <c r="E128" s="1" t="n">
        <v>46231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18.7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45989</v>
      </c>
      <c r="E129" s="1" t="n">
        <v>46231</v>
      </c>
      <c r="F129" t="inlineStr">
        <is>
          <t>VÄSTERBOTTENS LÄN</t>
        </is>
      </c>
      <c r="G129" t="inlineStr">
        <is>
          <t>MALÅ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46231</v>
      </c>
      <c r="F130" t="inlineStr">
        <is>
          <t>VÄSTERBOTTENS LÄN</t>
        </is>
      </c>
      <c r="G130" t="inlineStr">
        <is>
          <t>MALÅ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39246-2023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45166</v>
      </c>
      <c r="E131" s="1" t="n">
        <v>46231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35917-2022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44802</v>
      </c>
      <c r="E132" s="1" t="n">
        <v>46231</v>
      </c>
      <c r="F132" t="inlineStr">
        <is>
          <t>VÄSTERBOTTENS LÄN</t>
        </is>
      </c>
      <c r="G132" t="inlineStr">
        <is>
          <t>MALÅ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45022</v>
      </c>
      <c r="E133" s="1" t="n">
        <v>46231</v>
      </c>
      <c r="F133" t="inlineStr">
        <is>
          <t>VÄSTERBOTTENS LÄN</t>
        </is>
      </c>
      <c r="G133" t="inlineStr">
        <is>
          <t>MALÅ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54239-2022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46231</v>
      </c>
      <c r="F134" t="inlineStr">
        <is>
          <t>VÄSTERBOTTENS LÄN</t>
        </is>
      </c>
      <c r="G134" t="inlineStr">
        <is>
          <t>MALÅ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45179</v>
      </c>
      <c r="E135" s="1" t="n">
        <v>46231</v>
      </c>
      <c r="F135" t="inlineStr">
        <is>
          <t>VÄSTERBOTTENS LÄN</t>
        </is>
      </c>
      <c r="G135" t="inlineStr">
        <is>
          <t>MALÅ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46231</v>
      </c>
      <c r="F136" t="inlineStr">
        <is>
          <t>VÄSTERBOTTENS LÄN</t>
        </is>
      </c>
      <c r="G136" t="inlineStr">
        <is>
          <t>MALÅ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46231</v>
      </c>
      <c r="F137" t="inlineStr">
        <is>
          <t>VÄSTERBOTTENS LÄN</t>
        </is>
      </c>
      <c r="G137" t="inlineStr">
        <is>
          <t>MALÅ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46231</v>
      </c>
      <c r="F138" t="inlineStr">
        <is>
          <t>VÄSTERBOTTENS LÄN</t>
        </is>
      </c>
      <c r="G138" t="inlineStr">
        <is>
          <t>MALÅ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27487-2026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46189</v>
      </c>
      <c r="E139" s="1" t="n">
        <v>46231</v>
      </c>
      <c r="F139" t="inlineStr">
        <is>
          <t>VÄSTERBOTTENS LÄN</t>
        </is>
      </c>
      <c r="G139" t="inlineStr">
        <is>
          <t>MALÅ</t>
        </is>
      </c>
      <c r="H139" t="inlineStr">
        <is>
          <t>Sveaskog</t>
        </is>
      </c>
      <c r="I139" t="n">
        <v>10.1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27494-2026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46189</v>
      </c>
      <c r="E140" s="1" t="n">
        <v>46231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27466-2026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46189</v>
      </c>
      <c r="E141" s="1" t="n">
        <v>46231</v>
      </c>
      <c r="F141" t="inlineStr">
        <is>
          <t>VÄSTERBOTTENS LÄN</t>
        </is>
      </c>
      <c r="G141" t="inlineStr">
        <is>
          <t>MALÅ</t>
        </is>
      </c>
      <c r="H141" t="inlineStr">
        <is>
          <t>Sveaskog</t>
        </is>
      </c>
      <c r="I141" t="n">
        <v>9.9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27474-2026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46189</v>
      </c>
      <c r="E142" s="1" t="n">
        <v>46231</v>
      </c>
      <c r="F142" t="inlineStr">
        <is>
          <t>VÄSTERBOTTENS LÄN</t>
        </is>
      </c>
      <c r="G142" t="inlineStr">
        <is>
          <t>MALÅ</t>
        </is>
      </c>
      <c r="H142" t="inlineStr">
        <is>
          <t>Sveaskog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46189</v>
      </c>
      <c r="E143" s="1" t="n">
        <v>46231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23.5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27490-2026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46189</v>
      </c>
      <c r="E144" s="1" t="n">
        <v>46231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62124-2024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45646</v>
      </c>
      <c r="E145" s="1" t="n">
        <v>46231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45148</v>
      </c>
      <c r="E146" s="1" t="n">
        <v>46231</v>
      </c>
      <c r="F146" t="inlineStr">
        <is>
          <t>VÄSTERBOTTENS LÄN</t>
        </is>
      </c>
      <c r="G146" t="inlineStr">
        <is>
          <t>MALÅ</t>
        </is>
      </c>
      <c r="I146" t="n">
        <v>26.3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45245</v>
      </c>
      <c r="E147" s="1" t="n">
        <v>46231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46231</v>
      </c>
      <c r="F148" t="inlineStr">
        <is>
          <t>VÄSTERBOTTENS LÄN</t>
        </is>
      </c>
      <c r="G148" t="inlineStr">
        <is>
          <t>MALÅ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46231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49207-2025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45938</v>
      </c>
      <c r="E150" s="1" t="n">
        <v>46231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10.5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46231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46231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46231</v>
      </c>
      <c r="F153" t="inlineStr">
        <is>
          <t>VÄSTERBOTTENS LÄN</t>
        </is>
      </c>
      <c r="G153" t="inlineStr">
        <is>
          <t>MALÅ</t>
        </is>
      </c>
      <c r="H153" t="inlineStr">
        <is>
          <t>SCA</t>
        </is>
      </c>
      <c r="I153" t="n">
        <v>11.7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9947-2025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45719</v>
      </c>
      <c r="E154" s="1" t="n">
        <v>46231</v>
      </c>
      <c r="F154" t="inlineStr">
        <is>
          <t>VÄSTERBOTTENS LÄN</t>
        </is>
      </c>
      <c r="G154" t="inlineStr">
        <is>
          <t>MALÅ</t>
        </is>
      </c>
      <c r="I154" t="n">
        <v>9.300000000000001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46231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55671-2023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46231</v>
      </c>
      <c r="F156" t="inlineStr">
        <is>
          <t>VÄSTERBOTTENS LÄN</t>
        </is>
      </c>
      <c r="G156" t="inlineStr">
        <is>
          <t>MALÅ</t>
        </is>
      </c>
      <c r="H156" t="inlineStr">
        <is>
          <t>SCA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45167</v>
      </c>
      <c r="E157" s="1" t="n">
        <v>46231</v>
      </c>
      <c r="F157" t="inlineStr">
        <is>
          <t>VÄSTERBOTTENS LÄN</t>
        </is>
      </c>
      <c r="G157" t="inlineStr">
        <is>
          <t>MALÅ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49661-2025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45939</v>
      </c>
      <c r="E158" s="1" t="n">
        <v>46231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46198</v>
      </c>
      <c r="E159" s="1" t="n">
        <v>46231</v>
      </c>
      <c r="F159" t="inlineStr">
        <is>
          <t>VÄSTERBOTTENS LÄN</t>
        </is>
      </c>
      <c r="G159" t="inlineStr">
        <is>
          <t>MALÅ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37537-2023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45158</v>
      </c>
      <c r="E160" s="1" t="n">
        <v>46231</v>
      </c>
      <c r="F160" t="inlineStr">
        <is>
          <t>VÄSTERBOTTENS LÄN</t>
        </is>
      </c>
      <c r="G160" t="inlineStr">
        <is>
          <t>MALÅ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37678-2023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45156</v>
      </c>
      <c r="E161" s="1" t="n">
        <v>46231</v>
      </c>
      <c r="F161" t="inlineStr">
        <is>
          <t>VÄSTERBOTTENS LÄN</t>
        </is>
      </c>
      <c r="G161" t="inlineStr">
        <is>
          <t>MALÅ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45166</v>
      </c>
      <c r="E162" s="1" t="n">
        <v>46231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45155</v>
      </c>
      <c r="E163" s="1" t="n">
        <v>46231</v>
      </c>
      <c r="F163" t="inlineStr">
        <is>
          <t>VÄSTERBOTTENS LÄN</t>
        </is>
      </c>
      <c r="G163" t="inlineStr">
        <is>
          <t>MALÅ</t>
        </is>
      </c>
      <c r="I163" t="n">
        <v>5.6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45152</v>
      </c>
      <c r="E164" s="1" t="n">
        <v>46231</v>
      </c>
      <c r="F164" t="inlineStr">
        <is>
          <t>VÄSTERBOTTENS LÄN</t>
        </is>
      </c>
      <c r="G164" t="inlineStr">
        <is>
          <t>MALÅ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52795-2024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45610</v>
      </c>
      <c r="E165" s="1" t="n">
        <v>46231</v>
      </c>
      <c r="F165" t="inlineStr">
        <is>
          <t>VÄSTERBOTTENS LÄN</t>
        </is>
      </c>
      <c r="G165" t="inlineStr">
        <is>
          <t>MALÅ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46231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29024-2026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46231</v>
      </c>
      <c r="F167" t="inlineStr">
        <is>
          <t>VÄSTERBOTTENS LÄN</t>
        </is>
      </c>
      <c r="G167" t="inlineStr">
        <is>
          <t>MALÅ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46196</v>
      </c>
      <c r="E168" s="1" t="n">
        <v>46231</v>
      </c>
      <c r="F168" t="inlineStr">
        <is>
          <t>VÄSTERBOTTENS LÄN</t>
        </is>
      </c>
      <c r="G168" t="inlineStr">
        <is>
          <t>MALÅ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46231</v>
      </c>
      <c r="F169" t="inlineStr">
        <is>
          <t>VÄSTERBOTTENS LÄN</t>
        </is>
      </c>
      <c r="G169" t="inlineStr">
        <is>
          <t>MALÅ</t>
        </is>
      </c>
      <c r="I169" t="n">
        <v>6.1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46231</v>
      </c>
      <c r="F170" t="inlineStr">
        <is>
          <t>VÄSTERBOTTENS LÄN</t>
        </is>
      </c>
      <c r="G170" t="inlineStr">
        <is>
          <t>MALÅ</t>
        </is>
      </c>
      <c r="H170" t="inlineStr">
        <is>
          <t>SCA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46231</v>
      </c>
      <c r="F171" t="inlineStr">
        <is>
          <t>VÄSTERBOTTENS LÄN</t>
        </is>
      </c>
      <c r="G171" t="inlineStr">
        <is>
          <t>MALÅ</t>
        </is>
      </c>
      <c r="I171" t="n">
        <v>18.6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46231</v>
      </c>
      <c r="F172" t="inlineStr">
        <is>
          <t>VÄSTERBOTTENS LÄN</t>
        </is>
      </c>
      <c r="G172" t="inlineStr">
        <is>
          <t>MALÅ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45952</v>
      </c>
      <c r="E173" s="1" t="n">
        <v>46231</v>
      </c>
      <c r="F173" t="inlineStr">
        <is>
          <t>VÄSTERBOTTENS LÄN</t>
        </is>
      </c>
      <c r="G173" t="inlineStr">
        <is>
          <t>MALÅ</t>
        </is>
      </c>
      <c r="H173" t="inlineStr">
        <is>
          <t>SCA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46231</v>
      </c>
      <c r="F174" t="inlineStr">
        <is>
          <t>VÄSTERBOTTENS LÄN</t>
        </is>
      </c>
      <c r="G174" t="inlineStr">
        <is>
          <t>MALÅ</t>
        </is>
      </c>
      <c r="H174" t="inlineStr">
        <is>
          <t>SCA</t>
        </is>
      </c>
      <c r="I174" t="n">
        <v>6.8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61609-2024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46231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46231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30.8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46231</v>
      </c>
      <c r="F177" t="inlineStr">
        <is>
          <t>VÄSTERBOTTENS LÄN</t>
        </is>
      </c>
      <c r="G177" t="inlineStr">
        <is>
          <t>MALÅ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45952</v>
      </c>
      <c r="E178" s="1" t="n">
        <v>46231</v>
      </c>
      <c r="F178" t="inlineStr">
        <is>
          <t>VÄSTERBOTTENS LÄN</t>
        </is>
      </c>
      <c r="G178" t="inlineStr">
        <is>
          <t>MALÅ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45902</v>
      </c>
      <c r="E179" s="1" t="n">
        <v>46231</v>
      </c>
      <c r="F179" t="inlineStr">
        <is>
          <t>VÄSTERBOTTENS LÄN</t>
        </is>
      </c>
      <c r="G179" t="inlineStr">
        <is>
          <t>MALÅ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45170</v>
      </c>
      <c r="E180" s="1" t="n">
        <v>46231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18.2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45154</v>
      </c>
      <c r="E181" s="1" t="n">
        <v>46231</v>
      </c>
      <c r="F181" t="inlineStr">
        <is>
          <t>VÄSTERBOTTENS LÄN</t>
        </is>
      </c>
      <c r="G181" t="inlineStr">
        <is>
          <t>MALÅ</t>
        </is>
      </c>
      <c r="I181" t="n">
        <v>63.5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39214-2023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45166</v>
      </c>
      <c r="E182" s="1" t="n">
        <v>46231</v>
      </c>
      <c r="F182" t="inlineStr">
        <is>
          <t>VÄSTERBOTTENS LÄN</t>
        </is>
      </c>
      <c r="G182" t="inlineStr">
        <is>
          <t>MALÅ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45719</v>
      </c>
      <c r="E183" s="1" t="n">
        <v>46231</v>
      </c>
      <c r="F183" t="inlineStr">
        <is>
          <t>VÄSTERBOTTENS LÄN</t>
        </is>
      </c>
      <c r="G183" t="inlineStr">
        <is>
          <t>MALÅ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48224-2024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45590</v>
      </c>
      <c r="E184" s="1" t="n">
        <v>46231</v>
      </c>
      <c r="F184" t="inlineStr">
        <is>
          <t>VÄSTERBOTTENS LÄN</t>
        </is>
      </c>
      <c r="G184" t="inlineStr">
        <is>
          <t>MALÅ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30502-2026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46210</v>
      </c>
      <c r="E185" s="1" t="n">
        <v>46231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45201</v>
      </c>
      <c r="E186" s="1" t="n">
        <v>46231</v>
      </c>
      <c r="F186" t="inlineStr">
        <is>
          <t>VÄSTERBOTTENS LÄN</t>
        </is>
      </c>
      <c r="G186" t="inlineStr">
        <is>
          <t>MALÅ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46231</v>
      </c>
      <c r="F187" t="inlineStr">
        <is>
          <t>VÄSTERBOTTENS LÄN</t>
        </is>
      </c>
      <c r="G187" t="inlineStr">
        <is>
          <t>MALÅ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60616-2024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46231</v>
      </c>
      <c r="F188" t="inlineStr">
        <is>
          <t>VÄSTERBOTTENS LÄN</t>
        </is>
      </c>
      <c r="G188" t="inlineStr">
        <is>
          <t>MALÅ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45162</v>
      </c>
      <c r="E189" s="1" t="n">
        <v>46231</v>
      </c>
      <c r="F189" t="inlineStr">
        <is>
          <t>VÄSTERBOTTENS LÄN</t>
        </is>
      </c>
      <c r="G189" t="inlineStr">
        <is>
          <t>MALÅ</t>
        </is>
      </c>
      <c r="I189" t="n">
        <v>17.5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43952-2023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45187</v>
      </c>
      <c r="E190" s="1" t="n">
        <v>46231</v>
      </c>
      <c r="F190" t="inlineStr">
        <is>
          <t>VÄSTERBOTTENS LÄN</t>
        </is>
      </c>
      <c r="G190" t="inlineStr">
        <is>
          <t>MALÅ</t>
        </is>
      </c>
      <c r="H190" t="inlineStr">
        <is>
          <t>SCA</t>
        </is>
      </c>
      <c r="I190" t="n">
        <v>11.5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46231</v>
      </c>
      <c r="F191" t="inlineStr">
        <is>
          <t>VÄSTERBOTTENS LÄN</t>
        </is>
      </c>
      <c r="G191" t="inlineStr">
        <is>
          <t>MALÅ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46231</v>
      </c>
      <c r="F192" t="inlineStr">
        <is>
          <t>VÄSTERBOTTENS LÄN</t>
        </is>
      </c>
      <c r="G192" t="inlineStr">
        <is>
          <t>MALÅ</t>
        </is>
      </c>
      <c r="I192" t="n">
        <v>13.3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37785-2023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45159</v>
      </c>
      <c r="E193" s="1" t="n">
        <v>46231</v>
      </c>
      <c r="F193" t="inlineStr">
        <is>
          <t>VÄSTERBOTTENS LÄN</t>
        </is>
      </c>
      <c r="G193" t="inlineStr">
        <is>
          <t>MALÅ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50504-2024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45601</v>
      </c>
      <c r="E194" s="1" t="n">
        <v>46231</v>
      </c>
      <c r="F194" t="inlineStr">
        <is>
          <t>VÄSTERBOTTENS LÄN</t>
        </is>
      </c>
      <c r="G194" t="inlineStr">
        <is>
          <t>MALÅ</t>
        </is>
      </c>
      <c r="H194" t="inlineStr">
        <is>
          <t>SCA</t>
        </is>
      </c>
      <c r="I194" t="n">
        <v>25.9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46231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14.7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54064-2025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46231</v>
      </c>
      <c r="F196" t="inlineStr">
        <is>
          <t>VÄSTERBOTTENS LÄN</t>
        </is>
      </c>
      <c r="G196" t="inlineStr">
        <is>
          <t>MALÅ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50517-2024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46231</v>
      </c>
      <c r="F197" t="inlineStr">
        <is>
          <t>VÄSTERBOTTENS LÄN</t>
        </is>
      </c>
      <c r="G197" t="inlineStr">
        <is>
          <t>MALÅ</t>
        </is>
      </c>
      <c r="H197" t="inlineStr">
        <is>
          <t>SCA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46231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54742-2025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45966</v>
      </c>
      <c r="E199" s="1" t="n">
        <v>46231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45101-2023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45190</v>
      </c>
      <c r="E200" s="1" t="n">
        <v>46231</v>
      </c>
      <c r="F200" t="inlineStr">
        <is>
          <t>VÄSTERBOTTENS LÄN</t>
        </is>
      </c>
      <c r="G200" t="inlineStr">
        <is>
          <t>MALÅ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54628-2025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45966</v>
      </c>
      <c r="E201" s="1" t="n">
        <v>46231</v>
      </c>
      <c r="F201" t="inlineStr">
        <is>
          <t>VÄSTERBOTTENS LÄN</t>
        </is>
      </c>
      <c r="G201" t="inlineStr">
        <is>
          <t>MALÅ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36742-2023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46231</v>
      </c>
      <c r="F202" t="inlineStr">
        <is>
          <t>VÄSTERBOTTENS LÄN</t>
        </is>
      </c>
      <c r="G202" t="inlineStr">
        <is>
          <t>MALÅ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36747-2023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45153</v>
      </c>
      <c r="E203" s="1" t="n">
        <v>46231</v>
      </c>
      <c r="F203" t="inlineStr">
        <is>
          <t>VÄSTERBOTTENS LÄN</t>
        </is>
      </c>
      <c r="G203" t="inlineStr">
        <is>
          <t>MALÅ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45193</v>
      </c>
      <c r="E204" s="1" t="n">
        <v>46231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45193</v>
      </c>
      <c r="E205" s="1" t="n">
        <v>46231</v>
      </c>
      <c r="F205" t="inlineStr">
        <is>
          <t>VÄSTERBOTTENS LÄN</t>
        </is>
      </c>
      <c r="G205" t="inlineStr">
        <is>
          <t>MALÅ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46231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45180</v>
      </c>
      <c r="E207" s="1" t="n">
        <v>46231</v>
      </c>
      <c r="F207" t="inlineStr">
        <is>
          <t>VÄSTERBOTTENS LÄN</t>
        </is>
      </c>
      <c r="G207" t="inlineStr">
        <is>
          <t>MALÅ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46063-2023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45196</v>
      </c>
      <c r="E208" s="1" t="n">
        <v>46231</v>
      </c>
      <c r="F208" t="inlineStr">
        <is>
          <t>VÄSTERBOTTENS LÄN</t>
        </is>
      </c>
      <c r="G208" t="inlineStr">
        <is>
          <t>MALÅ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42988-2023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46231</v>
      </c>
      <c r="F209" t="inlineStr">
        <is>
          <t>VÄSTERBOTTENS LÄN</t>
        </is>
      </c>
      <c r="G209" t="inlineStr">
        <is>
          <t>MALÅ</t>
        </is>
      </c>
      <c r="I209" t="n">
        <v>10.5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61990-2024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45646</v>
      </c>
      <c r="E210" s="1" t="n">
        <v>46231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45204</v>
      </c>
      <c r="E211" s="1" t="n">
        <v>46231</v>
      </c>
      <c r="F211" t="inlineStr">
        <is>
          <t>VÄSTERBOTTENS LÄN</t>
        </is>
      </c>
      <c r="G211" t="inlineStr">
        <is>
          <t>MALÅ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46231</v>
      </c>
      <c r="F212" t="inlineStr">
        <is>
          <t>VÄSTERBOTTENS LÄN</t>
        </is>
      </c>
      <c r="G212" t="inlineStr">
        <is>
          <t>MALÅ</t>
        </is>
      </c>
      <c r="I212" t="n">
        <v>13.3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45744-2023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45193</v>
      </c>
      <c r="E213" s="1" t="n">
        <v>46231</v>
      </c>
      <c r="F213" t="inlineStr">
        <is>
          <t>VÄSTERBOTTENS LÄN</t>
        </is>
      </c>
      <c r="G213" t="inlineStr">
        <is>
          <t>MALÅ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54463-2025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45964</v>
      </c>
      <c r="E214" s="1" t="n">
        <v>46231</v>
      </c>
      <c r="F214" t="inlineStr">
        <is>
          <t>VÄSTERBOTTENS LÄN</t>
        </is>
      </c>
      <c r="G214" t="inlineStr">
        <is>
          <t>MALÅ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45625</v>
      </c>
      <c r="E215" s="1" t="n">
        <v>46231</v>
      </c>
      <c r="F215" t="inlineStr">
        <is>
          <t>VÄSTERBOTTENS LÄN</t>
        </is>
      </c>
      <c r="G215" t="inlineStr">
        <is>
          <t>MALÅ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45148</v>
      </c>
      <c r="E216" s="1" t="n">
        <v>46231</v>
      </c>
      <c r="F216" t="inlineStr">
        <is>
          <t>VÄSTERBOTTENS LÄN</t>
        </is>
      </c>
      <c r="G216" t="inlineStr">
        <is>
          <t>MALÅ</t>
        </is>
      </c>
      <c r="I216" t="n">
        <v>16.2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54455-2025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45964</v>
      </c>
      <c r="E217" s="1" t="n">
        <v>46231</v>
      </c>
      <c r="F217" t="inlineStr">
        <is>
          <t>VÄSTERBOTTENS LÄN</t>
        </is>
      </c>
      <c r="G217" t="inlineStr">
        <is>
          <t>MALÅ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56102-2025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46231</v>
      </c>
      <c r="F218" t="inlineStr">
        <is>
          <t>VÄSTERBOTTENS LÄN</t>
        </is>
      </c>
      <c r="G218" t="inlineStr">
        <is>
          <t>MALÅ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45195</v>
      </c>
      <c r="E219" s="1" t="n">
        <v>46231</v>
      </c>
      <c r="F219" t="inlineStr">
        <is>
          <t>VÄSTERBOTTENS LÄN</t>
        </is>
      </c>
      <c r="G219" t="inlineStr">
        <is>
          <t>MALÅ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45153</v>
      </c>
      <c r="E220" s="1" t="n">
        <v>46231</v>
      </c>
      <c r="F220" t="inlineStr">
        <is>
          <t>VÄSTERBOTTENS LÄN</t>
        </is>
      </c>
      <c r="G220" t="inlineStr">
        <is>
          <t>MALÅ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45201</v>
      </c>
      <c r="E221" s="1" t="n">
        <v>46231</v>
      </c>
      <c r="F221" t="inlineStr">
        <is>
          <t>VÄSTERBOTTENS LÄN</t>
        </is>
      </c>
      <c r="G221" t="inlineStr">
        <is>
          <t>MALÅ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46231</v>
      </c>
      <c r="F222" t="inlineStr">
        <is>
          <t>VÄSTERBOTTENS LÄN</t>
        </is>
      </c>
      <c r="G222" t="inlineStr">
        <is>
          <t>MALÅ</t>
        </is>
      </c>
      <c r="H222" t="inlineStr">
        <is>
          <t>SCA</t>
        </is>
      </c>
      <c r="I222" t="n">
        <v>10.2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32767-2024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45516</v>
      </c>
      <c r="E223" s="1" t="n">
        <v>46231</v>
      </c>
      <c r="F223" t="inlineStr">
        <is>
          <t>VÄSTERBOTTENS LÄN</t>
        </is>
      </c>
      <c r="G223" t="inlineStr">
        <is>
          <t>MALÅ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31529-2026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46223</v>
      </c>
      <c r="E224" s="1" t="n">
        <v>46231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31535-2026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46223</v>
      </c>
      <c r="E225" s="1" t="n">
        <v>46231</v>
      </c>
      <c r="F225" t="inlineStr">
        <is>
          <t>VÄSTERBOTTENS LÄN</t>
        </is>
      </c>
      <c r="G225" t="inlineStr">
        <is>
          <t>MALÅ</t>
        </is>
      </c>
      <c r="H225" t="inlineStr">
        <is>
          <t>SCA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46231</v>
      </c>
      <c r="F226" t="inlineStr">
        <is>
          <t>VÄSTERBOTTENS LÄN</t>
        </is>
      </c>
      <c r="G226" t="inlineStr">
        <is>
          <t>MALÅ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46231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46231</v>
      </c>
      <c r="F228" t="inlineStr">
        <is>
          <t>VÄSTERBOTTENS LÄN</t>
        </is>
      </c>
      <c r="G228" t="inlineStr">
        <is>
          <t>MALÅ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45223</v>
      </c>
      <c r="E229" s="1" t="n">
        <v>46231</v>
      </c>
      <c r="F229" t="inlineStr">
        <is>
          <t>VÄSTERBOTTENS LÄN</t>
        </is>
      </c>
      <c r="G229" t="inlineStr">
        <is>
          <t>MALÅ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46231</v>
      </c>
      <c r="F230" t="inlineStr">
        <is>
          <t>VÄSTERBOTTENS LÄN</t>
        </is>
      </c>
      <c r="G230" t="inlineStr">
        <is>
          <t>MALÅ</t>
        </is>
      </c>
      <c r="I230" t="n">
        <v>10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46231</v>
      </c>
      <c r="F231" t="inlineStr">
        <is>
          <t>VÄSTERBOTTENS LÄN</t>
        </is>
      </c>
      <c r="G231" t="inlineStr">
        <is>
          <t>MALÅ</t>
        </is>
      </c>
      <c r="H231" t="inlineStr">
        <is>
          <t>Kyrkan</t>
        </is>
      </c>
      <c r="I231" t="n">
        <v>27.3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39320-2023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46231</v>
      </c>
      <c r="F232" t="inlineStr">
        <is>
          <t>VÄSTERBOTTENS LÄN</t>
        </is>
      </c>
      <c r="G232" t="inlineStr">
        <is>
          <t>MALÅ</t>
        </is>
      </c>
      <c r="H232" t="inlineStr">
        <is>
          <t>Kyrkan</t>
        </is>
      </c>
      <c r="I232" t="n">
        <v>84.5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26853-2026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46185</v>
      </c>
      <c r="E233" s="1" t="n">
        <v>46231</v>
      </c>
      <c r="F233" t="inlineStr">
        <is>
          <t>VÄSTERBOTTENS LÄN</t>
        </is>
      </c>
      <c r="G233" t="inlineStr">
        <is>
          <t>MALÅ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45162</v>
      </c>
      <c r="E234" s="1" t="n">
        <v>46231</v>
      </c>
      <c r="F234" t="inlineStr">
        <is>
          <t>VÄSTERBOTTENS LÄN</t>
        </is>
      </c>
      <c r="G234" t="inlineStr">
        <is>
          <t>MALÅ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26998-2026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46185</v>
      </c>
      <c r="E235" s="1" t="n">
        <v>46231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11.5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52480-2023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45225</v>
      </c>
      <c r="E236" s="1" t="n">
        <v>46231</v>
      </c>
      <c r="F236" t="inlineStr">
        <is>
          <t>VÄSTERBOTTENS LÄN</t>
        </is>
      </c>
      <c r="G236" t="inlineStr">
        <is>
          <t>MALÅ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41852-2023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45174</v>
      </c>
      <c r="E237" s="1" t="n">
        <v>46231</v>
      </c>
      <c r="F237" t="inlineStr">
        <is>
          <t>VÄSTERBOTTENS LÄN</t>
        </is>
      </c>
      <c r="G237" t="inlineStr">
        <is>
          <t>MALÅ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58258-2025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45985</v>
      </c>
      <c r="E238" s="1" t="n">
        <v>46231</v>
      </c>
      <c r="F238" t="inlineStr">
        <is>
          <t>VÄSTERBOTTENS LÄN</t>
        </is>
      </c>
      <c r="G238" t="inlineStr">
        <is>
          <t>MALÅ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36144-2023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45149</v>
      </c>
      <c r="E239" s="1" t="n">
        <v>46231</v>
      </c>
      <c r="F239" t="inlineStr">
        <is>
          <t>VÄSTERBOTTENS LÄN</t>
        </is>
      </c>
      <c r="G239" t="inlineStr">
        <is>
          <t>MALÅ</t>
        </is>
      </c>
      <c r="I239" t="n">
        <v>147.1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45202</v>
      </c>
      <c r="E240" s="1" t="n">
        <v>46231</v>
      </c>
      <c r="F240" t="inlineStr">
        <is>
          <t>VÄSTERBOTTENS LÄN</t>
        </is>
      </c>
      <c r="G240" t="inlineStr">
        <is>
          <t>MALÅ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56094-2025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46231</v>
      </c>
      <c r="F241" t="inlineStr">
        <is>
          <t>VÄSTERBOTTENS LÄN</t>
        </is>
      </c>
      <c r="G241" t="inlineStr">
        <is>
          <t>MALÅ</t>
        </is>
      </c>
      <c r="I241" t="n">
        <v>20.7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46231</v>
      </c>
      <c r="F242" t="inlineStr">
        <is>
          <t>VÄSTERBOTTENS LÄN</t>
        </is>
      </c>
      <c r="G242" t="inlineStr">
        <is>
          <t>MALÅ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45987</v>
      </c>
      <c r="E243" s="1" t="n">
        <v>46231</v>
      </c>
      <c r="F243" t="inlineStr">
        <is>
          <t>VÄSTERBOTTENS LÄN</t>
        </is>
      </c>
      <c r="G243" t="inlineStr">
        <is>
          <t>MALÅ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45987</v>
      </c>
      <c r="E244" s="1" t="n">
        <v>46231</v>
      </c>
      <c r="F244" t="inlineStr">
        <is>
          <t>VÄSTERBOTTENS LÄN</t>
        </is>
      </c>
      <c r="G244" t="inlineStr">
        <is>
          <t>MALÅ</t>
        </is>
      </c>
      <c r="I244" t="n">
        <v>19.2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46231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46231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46231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45989</v>
      </c>
      <c r="E248" s="1" t="n">
        <v>46231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46231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45989</v>
      </c>
      <c r="E250" s="1" t="n">
        <v>46231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14461-2025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45741</v>
      </c>
      <c r="E251" s="1" t="n">
        <v>46231</v>
      </c>
      <c r="F251" t="inlineStr">
        <is>
          <t>VÄSTERBOTTENS LÄN</t>
        </is>
      </c>
      <c r="G251" t="inlineStr">
        <is>
          <t>MALÅ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45267</v>
      </c>
      <c r="E252" s="1" t="n">
        <v>46231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10843-2024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45369</v>
      </c>
      <c r="E253" s="1" t="n">
        <v>46231</v>
      </c>
      <c r="F253" t="inlineStr">
        <is>
          <t>VÄSTERBOTTENS LÄN</t>
        </is>
      </c>
      <c r="G253" t="inlineStr">
        <is>
          <t>MALÅ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60786-2025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45999</v>
      </c>
      <c r="E254" s="1" t="n">
        <v>46231</v>
      </c>
      <c r="F254" t="inlineStr">
        <is>
          <t>VÄSTERBOTTENS LÄN</t>
        </is>
      </c>
      <c r="G254" t="inlineStr">
        <is>
          <t>MALÅ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46231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61785-2025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46231</v>
      </c>
      <c r="F256" t="inlineStr">
        <is>
          <t>VÄSTERBOTTENS LÄN</t>
        </is>
      </c>
      <c r="G256" t="inlineStr">
        <is>
          <t>MALÅ</t>
        </is>
      </c>
      <c r="I256" t="n">
        <v>9.1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54198-2025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46231</v>
      </c>
      <c r="F257" t="inlineStr">
        <is>
          <t>VÄSTERBOTTENS LÄN</t>
        </is>
      </c>
      <c r="G257" t="inlineStr">
        <is>
          <t>MALÅ</t>
        </is>
      </c>
      <c r="I257" t="n">
        <v>19.5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46231</v>
      </c>
      <c r="F258" t="inlineStr">
        <is>
          <t>VÄSTERBOTTENS LÄN</t>
        </is>
      </c>
      <c r="G258" t="inlineStr">
        <is>
          <t>MALÅ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45694</v>
      </c>
      <c r="E259" s="1" t="n">
        <v>46231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1947-2022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44575</v>
      </c>
      <c r="E260" s="1" t="n">
        <v>46231</v>
      </c>
      <c r="F260" t="inlineStr">
        <is>
          <t>VÄSTERBOTTENS LÄN</t>
        </is>
      </c>
      <c r="G260" t="inlineStr">
        <is>
          <t>MALÅ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45212</v>
      </c>
      <c r="E261" s="1" t="n">
        <v>46231</v>
      </c>
      <c r="F261" t="inlineStr">
        <is>
          <t>VÄSTERBOTTENS LÄN</t>
        </is>
      </c>
      <c r="G261" t="inlineStr">
        <is>
          <t>MALÅ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42410-2023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45180</v>
      </c>
      <c r="E262" s="1" t="n">
        <v>46231</v>
      </c>
      <c r="F262" t="inlineStr">
        <is>
          <t>VÄSTERBOTTENS LÄN</t>
        </is>
      </c>
      <c r="G262" t="inlineStr">
        <is>
          <t>MALÅ</t>
        </is>
      </c>
      <c r="I262" t="n">
        <v>7.4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51723-2023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45222</v>
      </c>
      <c r="E263" s="1" t="n">
        <v>46231</v>
      </c>
      <c r="F263" t="inlineStr">
        <is>
          <t>VÄSTERBOTTENS LÄN</t>
        </is>
      </c>
      <c r="G263" t="inlineStr">
        <is>
          <t>MALÅ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7007-2023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44967</v>
      </c>
      <c r="E264" s="1" t="n">
        <v>46231</v>
      </c>
      <c r="F264" t="inlineStr">
        <is>
          <t>VÄSTERBOTTENS LÄN</t>
        </is>
      </c>
      <c r="G264" t="inlineStr">
        <is>
          <t>MALÅ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45167</v>
      </c>
      <c r="E265" s="1" t="n">
        <v>46231</v>
      </c>
      <c r="F265" t="inlineStr">
        <is>
          <t>VÄSTERBOTTENS LÄN</t>
        </is>
      </c>
      <c r="G265" t="inlineStr">
        <is>
          <t>MALÅ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37922-2023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45159</v>
      </c>
      <c r="E266" s="1" t="n">
        <v>46231</v>
      </c>
      <c r="F266" t="inlineStr">
        <is>
          <t>VÄSTERBOTTENS LÄN</t>
        </is>
      </c>
      <c r="G266" t="inlineStr">
        <is>
          <t>MALÅ</t>
        </is>
      </c>
      <c r="I266" t="n">
        <v>9.699999999999999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46231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44939</v>
      </c>
      <c r="E268" s="1" t="n">
        <v>46231</v>
      </c>
      <c r="F268" t="inlineStr">
        <is>
          <t>VÄSTERBOTTENS LÄN</t>
        </is>
      </c>
      <c r="G268" t="inlineStr">
        <is>
          <t>MALÅ</t>
        </is>
      </c>
      <c r="H268" t="inlineStr">
        <is>
          <t>SCA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61947-2024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45646</v>
      </c>
      <c r="E269" s="1" t="n">
        <v>46231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53376-2023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45229</v>
      </c>
      <c r="E270" s="1" t="n">
        <v>46231</v>
      </c>
      <c r="F270" t="inlineStr">
        <is>
          <t>VÄSTERBOTTENS LÄN</t>
        </is>
      </c>
      <c r="G270" t="inlineStr">
        <is>
          <t>MALÅ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39152-2023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46231</v>
      </c>
      <c r="F271" t="inlineStr">
        <is>
          <t>VÄSTERBOTTENS LÄN</t>
        </is>
      </c>
      <c r="G271" t="inlineStr">
        <is>
          <t>MALÅ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46231</v>
      </c>
      <c r="F272" t="inlineStr">
        <is>
          <t>VÄSTERBOTTENS LÄN</t>
        </is>
      </c>
      <c r="G272" t="inlineStr">
        <is>
          <t>MALÅ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68036-2021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44525</v>
      </c>
      <c r="E273" s="1" t="n">
        <v>46231</v>
      </c>
      <c r="F273" t="inlineStr">
        <is>
          <t>VÄSTERBOTTENS LÄN</t>
        </is>
      </c>
      <c r="G273" t="inlineStr">
        <is>
          <t>MALÅ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45540</v>
      </c>
      <c r="E274" s="1" t="n">
        <v>46231</v>
      </c>
      <c r="F274" t="inlineStr">
        <is>
          <t>VÄSTERBOTTENS LÄN</t>
        </is>
      </c>
      <c r="G274" t="inlineStr">
        <is>
          <t>MALÅ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37535-2023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45158</v>
      </c>
      <c r="E275" s="1" t="n">
        <v>46231</v>
      </c>
      <c r="F275" t="inlineStr">
        <is>
          <t>VÄSTERBOTTENS LÄN</t>
        </is>
      </c>
      <c r="G275" t="inlineStr">
        <is>
          <t>MALÅ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37183-2023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45154</v>
      </c>
      <c r="E276" s="1" t="n">
        <v>46231</v>
      </c>
      <c r="F276" t="inlineStr">
        <is>
          <t>VÄSTERBOTTENS LÄN</t>
        </is>
      </c>
      <c r="G276" t="inlineStr">
        <is>
          <t>MALÅ</t>
        </is>
      </c>
      <c r="I276" t="n">
        <v>41.2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46066-2021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44441</v>
      </c>
      <c r="E277" s="1" t="n">
        <v>46231</v>
      </c>
      <c r="F277" t="inlineStr">
        <is>
          <t>VÄSTERBOTTENS LÄN</t>
        </is>
      </c>
      <c r="G277" t="inlineStr">
        <is>
          <t>MALÅ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12680-2022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44641</v>
      </c>
      <c r="E278" s="1" t="n">
        <v>46231</v>
      </c>
      <c r="F278" t="inlineStr">
        <is>
          <t>VÄSTERBOTTENS LÄN</t>
        </is>
      </c>
      <c r="G278" t="inlineStr">
        <is>
          <t>MALÅ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46231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23.4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45736</v>
      </c>
      <c r="E280" s="1" t="n">
        <v>46231</v>
      </c>
      <c r="F280" t="inlineStr">
        <is>
          <t>VÄSTERBOTTENS LÄN</t>
        </is>
      </c>
      <c r="G280" t="inlineStr">
        <is>
          <t>MALÅ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45171</v>
      </c>
      <c r="E281" s="1" t="n">
        <v>46231</v>
      </c>
      <c r="F281" t="inlineStr">
        <is>
          <t>VÄSTERBOTTENS LÄN</t>
        </is>
      </c>
      <c r="G281" t="inlineStr">
        <is>
          <t>MALÅ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44626-2023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45184</v>
      </c>
      <c r="E282" s="1" t="n">
        <v>46231</v>
      </c>
      <c r="F282" t="inlineStr">
        <is>
          <t>VÄSTERBOTTENS LÄN</t>
        </is>
      </c>
      <c r="G282" t="inlineStr">
        <is>
          <t>MALÅ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39994-2023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46231</v>
      </c>
      <c r="F283" t="inlineStr">
        <is>
          <t>VÄSTERBOTTENS LÄN</t>
        </is>
      </c>
      <c r="G283" t="inlineStr">
        <is>
          <t>MALÅ</t>
        </is>
      </c>
      <c r="I283" t="n">
        <v>27.9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45807-2023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45189</v>
      </c>
      <c r="E284" s="1" t="n">
        <v>46231</v>
      </c>
      <c r="F284" t="inlineStr">
        <is>
          <t>VÄSTERBOTTENS LÄN</t>
        </is>
      </c>
      <c r="G284" t="inlineStr">
        <is>
          <t>MALÅ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45660</v>
      </c>
      <c r="E285" s="1" t="n">
        <v>46231</v>
      </c>
      <c r="F285" t="inlineStr">
        <is>
          <t>VÄSTERBOTTENS LÄN</t>
        </is>
      </c>
      <c r="G285" t="inlineStr">
        <is>
          <t>MALÅ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45236</v>
      </c>
      <c r="E286" s="1" t="n">
        <v>46231</v>
      </c>
      <c r="F286" t="inlineStr">
        <is>
          <t>VÄSTERBOTTENS LÄN</t>
        </is>
      </c>
      <c r="G286" t="inlineStr">
        <is>
          <t>MALÅ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45210</v>
      </c>
      <c r="E287" s="1" t="n">
        <v>46231</v>
      </c>
      <c r="F287" t="inlineStr">
        <is>
          <t>VÄSTERBOTTENS LÄN</t>
        </is>
      </c>
      <c r="G287" t="inlineStr">
        <is>
          <t>MALÅ</t>
        </is>
      </c>
      <c r="I287" t="n">
        <v>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49840-2023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46231</v>
      </c>
      <c r="F288" t="inlineStr">
        <is>
          <t>VÄSTERBOTTENS LÄN</t>
        </is>
      </c>
      <c r="G288" t="inlineStr">
        <is>
          <t>MALÅ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37326-2023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45154</v>
      </c>
      <c r="E289" s="1" t="n">
        <v>46231</v>
      </c>
      <c r="F289" t="inlineStr">
        <is>
          <t>VÄSTERBOTTENS LÄN</t>
        </is>
      </c>
      <c r="G289" t="inlineStr">
        <is>
          <t>MALÅ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44426-2023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45188</v>
      </c>
      <c r="E290" s="1" t="n">
        <v>46231</v>
      </c>
      <c r="F290" t="inlineStr">
        <is>
          <t>VÄSTERBOTTENS LÄN</t>
        </is>
      </c>
      <c r="G290" t="inlineStr">
        <is>
          <t>MALÅ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41792-2023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46231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39148-2023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45166</v>
      </c>
      <c r="E292" s="1" t="n">
        <v>46231</v>
      </c>
      <c r="F292" t="inlineStr">
        <is>
          <t>VÄSTERBOTTENS LÄN</t>
        </is>
      </c>
      <c r="G292" t="inlineStr">
        <is>
          <t>MALÅ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46231</v>
      </c>
      <c r="F293" t="inlineStr">
        <is>
          <t>VÄSTERBOTTENS LÄN</t>
        </is>
      </c>
      <c r="G293" t="inlineStr">
        <is>
          <t>MALÅ</t>
        </is>
      </c>
      <c r="I293" t="n">
        <v>11.4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67679-2021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44524</v>
      </c>
      <c r="E294" s="1" t="n">
        <v>46231</v>
      </c>
      <c r="F294" t="inlineStr">
        <is>
          <t>VÄSTERBOTTENS LÄN</t>
        </is>
      </c>
      <c r="G294" t="inlineStr">
        <is>
          <t>MALÅ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40588-2023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45170</v>
      </c>
      <c r="E295" s="1" t="n">
        <v>46231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45625</v>
      </c>
      <c r="E296" s="1" t="n">
        <v>46231</v>
      </c>
      <c r="F296" t="inlineStr">
        <is>
          <t>VÄSTERBOTTENS LÄN</t>
        </is>
      </c>
      <c r="G296" t="inlineStr">
        <is>
          <t>MALÅ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45204</v>
      </c>
      <c r="E297" s="1" t="n">
        <v>46231</v>
      </c>
      <c r="F297" t="inlineStr">
        <is>
          <t>VÄSTERBOTTENS LÄN</t>
        </is>
      </c>
      <c r="G297" t="inlineStr">
        <is>
          <t>MALÅ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56997-2023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46231</v>
      </c>
      <c r="F298" t="inlineStr">
        <is>
          <t>VÄSTERBOTTENS LÄN</t>
        </is>
      </c>
      <c r="G298" t="inlineStr">
        <is>
          <t>MALÅ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60624-2024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45642</v>
      </c>
      <c r="E299" s="1" t="n">
        <v>46231</v>
      </c>
      <c r="F299" t="inlineStr">
        <is>
          <t>VÄSTERBOTTENS LÄN</t>
        </is>
      </c>
      <c r="G299" t="inlineStr">
        <is>
          <t>MALÅ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45667</v>
      </c>
      <c r="E300" s="1" t="n">
        <v>46231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45595</v>
      </c>
      <c r="E301" s="1" t="n">
        <v>46231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37181-2023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46231</v>
      </c>
      <c r="F302" t="inlineStr">
        <is>
          <t>VÄSTERBOTTENS LÄN</t>
        </is>
      </c>
      <c r="G302" t="inlineStr">
        <is>
          <t>MALÅ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54437-2023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45233</v>
      </c>
      <c r="E303" s="1" t="n">
        <v>46231</v>
      </c>
      <c r="F303" t="inlineStr">
        <is>
          <t>VÄSTERBOTTENS LÄN</t>
        </is>
      </c>
      <c r="G303" t="inlineStr">
        <is>
          <t>MALÅ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42183-2023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45178</v>
      </c>
      <c r="E304" s="1" t="n">
        <v>46231</v>
      </c>
      <c r="F304" t="inlineStr">
        <is>
          <t>VÄSTERBOTTENS LÄN</t>
        </is>
      </c>
      <c r="G304" t="inlineStr">
        <is>
          <t>MALÅ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48731-2023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45203</v>
      </c>
      <c r="E305" s="1" t="n">
        <v>46231</v>
      </c>
      <c r="F305" t="inlineStr">
        <is>
          <t>VÄSTERBOTTENS LÄN</t>
        </is>
      </c>
      <c r="G305" t="inlineStr">
        <is>
          <t>MALÅ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49835-2023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45210</v>
      </c>
      <c r="E306" s="1" t="n">
        <v>46231</v>
      </c>
      <c r="F306" t="inlineStr">
        <is>
          <t>VÄSTERBOTTENS LÄN</t>
        </is>
      </c>
      <c r="G306" t="inlineStr">
        <is>
          <t>MALÅ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45622</v>
      </c>
      <c r="E307" s="1" t="n">
        <v>46231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53068-2023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45227</v>
      </c>
      <c r="E308" s="1" t="n">
        <v>46231</v>
      </c>
      <c r="F308" t="inlineStr">
        <is>
          <t>VÄSTERBOTTENS LÄN</t>
        </is>
      </c>
      <c r="G308" t="inlineStr">
        <is>
          <t>MALÅ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41126-2023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45173</v>
      </c>
      <c r="E309" s="1" t="n">
        <v>46231</v>
      </c>
      <c r="F309" t="inlineStr">
        <is>
          <t>VÄSTERBOTTENS LÄN</t>
        </is>
      </c>
      <c r="G309" t="inlineStr">
        <is>
          <t>MALÅ</t>
        </is>
      </c>
      <c r="I309" t="n">
        <v>8.5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51383-2023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46231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46231</v>
      </c>
      <c r="F311" t="inlineStr">
        <is>
          <t>VÄSTERBOTTENS LÄN</t>
        </is>
      </c>
      <c r="G311" t="inlineStr">
        <is>
          <t>MALÅ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60577-2022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44911</v>
      </c>
      <c r="E312" s="1" t="n">
        <v>46231</v>
      </c>
      <c r="F312" t="inlineStr">
        <is>
          <t>VÄSTERBOTTENS LÄN</t>
        </is>
      </c>
      <c r="G312" t="inlineStr">
        <is>
          <t>MALÅ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32618-2023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45111</v>
      </c>
      <c r="E313" s="1" t="n">
        <v>46231</v>
      </c>
      <c r="F313" t="inlineStr">
        <is>
          <t>VÄSTERBOTTENS LÄN</t>
        </is>
      </c>
      <c r="G313" t="inlineStr">
        <is>
          <t>MALÅ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41567-2023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45175</v>
      </c>
      <c r="E314" s="1" t="n">
        <v>46231</v>
      </c>
      <c r="F314" t="inlineStr">
        <is>
          <t>VÄSTERBOTTENS LÄN</t>
        </is>
      </c>
      <c r="G314" t="inlineStr">
        <is>
          <t>MALÅ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45688</v>
      </c>
      <c r="E315" s="1" t="n">
        <v>46231</v>
      </c>
      <c r="F315" t="inlineStr">
        <is>
          <t>VÄSTERBOTTENS LÄN</t>
        </is>
      </c>
      <c r="G315" t="inlineStr">
        <is>
          <t>MALÅ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37897-2023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45159</v>
      </c>
      <c r="E316" s="1" t="n">
        <v>46231</v>
      </c>
      <c r="F316" t="inlineStr">
        <is>
          <t>VÄSTERBOTTENS LÄN</t>
        </is>
      </c>
      <c r="G316" t="inlineStr">
        <is>
          <t>MALÅ</t>
        </is>
      </c>
      <c r="I316" t="n">
        <v>30.4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58838-2024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45636</v>
      </c>
      <c r="E317" s="1" t="n">
        <v>46231</v>
      </c>
      <c r="F317" t="inlineStr">
        <is>
          <t>VÄSTERBOTTENS LÄN</t>
        </is>
      </c>
      <c r="G317" t="inlineStr">
        <is>
          <t>MALÅ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45483</v>
      </c>
      <c r="E318" s="1" t="n">
        <v>46231</v>
      </c>
      <c r="F318" t="inlineStr">
        <is>
          <t>VÄSTERBOTTENS LÄN</t>
        </is>
      </c>
      <c r="G318" t="inlineStr">
        <is>
          <t>MALÅ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36695-2023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45152</v>
      </c>
      <c r="E319" s="1" t="n">
        <v>46231</v>
      </c>
      <c r="F319" t="inlineStr">
        <is>
          <t>VÄSTERBOTTENS LÄN</t>
        </is>
      </c>
      <c r="G319" t="inlineStr">
        <is>
          <t>MALÅ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45454</v>
      </c>
      <c r="E320" s="1" t="n">
        <v>46231</v>
      </c>
      <c r="F320" t="inlineStr">
        <is>
          <t>VÄSTERBOTTENS LÄN</t>
        </is>
      </c>
      <c r="G320" t="inlineStr">
        <is>
          <t>MALÅ</t>
        </is>
      </c>
      <c r="I320" t="n">
        <v>9.4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51380-2023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45219</v>
      </c>
      <c r="E321" s="1" t="n">
        <v>46231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21.5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57499-2022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44889</v>
      </c>
      <c r="E322" s="1" t="n">
        <v>46231</v>
      </c>
      <c r="F322" t="inlineStr">
        <is>
          <t>VÄSTERBOTTENS LÄN</t>
        </is>
      </c>
      <c r="G322" t="inlineStr">
        <is>
          <t>MALÅ</t>
        </is>
      </c>
      <c r="I322" t="n">
        <v>10.2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59801-2021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44491</v>
      </c>
      <c r="E323" s="1" t="n">
        <v>46231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67383-2021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44523</v>
      </c>
      <c r="E324" s="1" t="n">
        <v>46231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32979-2024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46231</v>
      </c>
      <c r="F325" t="inlineStr">
        <is>
          <t>VÄSTERBOTTENS LÄN</t>
        </is>
      </c>
      <c r="G325" t="inlineStr">
        <is>
          <t>MALÅ</t>
        </is>
      </c>
      <c r="I325" t="n">
        <v>15.5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46231</v>
      </c>
      <c r="F326" t="inlineStr">
        <is>
          <t>VÄSTERBOTTENS LÄN</t>
        </is>
      </c>
      <c r="G326" t="inlineStr">
        <is>
          <t>MALÅ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46989-2023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45201</v>
      </c>
      <c r="E327" s="1" t="n">
        <v>46231</v>
      </c>
      <c r="F327" t="inlineStr">
        <is>
          <t>VÄSTERBOTTENS LÄN</t>
        </is>
      </c>
      <c r="G327" t="inlineStr">
        <is>
          <t>MALÅ</t>
        </is>
      </c>
      <c r="I327" t="n">
        <v>22.9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46231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46231</v>
      </c>
      <c r="F329" t="inlineStr">
        <is>
          <t>VÄSTERBOTTENS LÄN</t>
        </is>
      </c>
      <c r="G329" t="inlineStr">
        <is>
          <t>MALÅ</t>
        </is>
      </c>
      <c r="I329" t="n">
        <v>16.6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46231</v>
      </c>
      <c r="F330" t="inlineStr">
        <is>
          <t>VÄSTERBOTTENS LÄN</t>
        </is>
      </c>
      <c r="G330" t="inlineStr">
        <is>
          <t>MALÅ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47797-2021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44448</v>
      </c>
      <c r="E331" s="1" t="n">
        <v>46231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24925-2025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45799</v>
      </c>
      <c r="E332" s="1" t="n">
        <v>46231</v>
      </c>
      <c r="F332" t="inlineStr">
        <is>
          <t>VÄSTERBOTTENS LÄN</t>
        </is>
      </c>
      <c r="G332" t="inlineStr">
        <is>
          <t>MALÅ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894-2022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44607</v>
      </c>
      <c r="E333" s="1" t="n">
        <v>46231</v>
      </c>
      <c r="F333" t="inlineStr">
        <is>
          <t>VÄSTERBOTTENS LÄN</t>
        </is>
      </c>
      <c r="G333" t="inlineStr">
        <is>
          <t>MALÅ</t>
        </is>
      </c>
      <c r="H333" t="inlineStr">
        <is>
          <t>SCA</t>
        </is>
      </c>
      <c r="I333" t="n">
        <v>86.3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2026-07-28T01:52:47Z</dcterms:created>
  <dcterms:modified xmlns:dcterms="http://purl.org/dc/terms/" xmlns:xsi="http://www.w3.org/2001/XMLSchema-instance" xsi:type="dcterms:W3CDTF">2026-07-28T01:52:48Z</dcterms:modified>
</cp:coreProperties>
</file>