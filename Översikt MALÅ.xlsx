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46256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46256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46256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46256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49040-2025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46256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Orange taggsvamp</t>
        </is>
      </c>
      <c r="W6">
        <f>HYPERLINK("https://klasma.github.io/Logging_2418/artfynd/A 49040-2025 artfynd.xlsx", "A 49040-2025")</f>
        <v/>
      </c>
      <c r="X6">
        <f>HYPERLINK("https://klasma.github.io/Logging_2418/kartor/A 49040-2025 karta.png", "A 49040-2025")</f>
        <v/>
      </c>
      <c r="Y6">
        <f>HYPERLINK("https://klasma.github.io/Logging_2418/kartor_geotiff/A 49040-2025 georefererad karta.tif", "A 49040-2025")</f>
        <v/>
      </c>
      <c r="AA6">
        <f>HYPERLINK("https://klasma.github.io/Logging_2418/klagomål/A 49040-2025 FSC-klagomål.docx", "A 49040-2025")</f>
        <v/>
      </c>
      <c r="AB6">
        <f>HYPERLINK("https://klasma.github.io/Logging_2418/klagomålsmail/A 49040-2025 FSC-klagomål mail.docx", "A 49040-2025")</f>
        <v/>
      </c>
      <c r="AC6">
        <f>HYPERLINK("https://klasma.github.io/Logging_2418/tillsyn/A 49040-2025 tillsynsbegäran.docx", "A 49040-2025")</f>
        <v/>
      </c>
      <c r="AD6">
        <f>HYPERLINK("https://klasma.github.io/Logging_2418/tillsynsmail/A 49040-2025 tillsynsbegäran mail.docx", "A 49040-2025")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46256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49370-2021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44454</v>
      </c>
      <c r="E8" s="1" t="n">
        <v>46256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26.5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Norna</t>
        </is>
      </c>
      <c r="W8">
        <f>HYPERLINK("https://klasma.github.io/Logging_2418/artfynd/A 49370-2021 artfynd.xlsx", "A 49370-2021")</f>
        <v/>
      </c>
      <c r="X8">
        <f>HYPERLINK("https://klasma.github.io/Logging_2418/kartor/A 49370-2021 karta.png", "A 49370-2021")</f>
        <v/>
      </c>
      <c r="Y8">
        <f>HYPERLINK("https://klasma.github.io/Logging_2418/kartor_geotiff/A 49370-2021 georefererad karta.tif", "A 49370-2021")</f>
        <v/>
      </c>
      <c r="AA8">
        <f>HYPERLINK("https://klasma.github.io/Logging_2418/klagomål/A 49370-2021 FSC-klagomål.docx", "A 49370-2021")</f>
        <v/>
      </c>
      <c r="AB8">
        <f>HYPERLINK("https://klasma.github.io/Logging_2418/klagomålsmail/A 49370-2021 FSC-klagomål mail.docx", "A 49370-2021")</f>
        <v/>
      </c>
      <c r="AC8">
        <f>HYPERLINK("https://klasma.github.io/Logging_2418/tillsyn/A 49370-2021 tillsynsbegäran.docx", "A 49370-2021")</f>
        <v/>
      </c>
      <c r="AD8">
        <f>HYPERLINK("https://klasma.github.io/Logging_2418/tillsynsmail/A 49370-2021 tillsynsbegäran mail.docx", "A 49370-2021")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46256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46256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46256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46256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46256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46256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46256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46256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46256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46256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46256</v>
      </c>
      <c r="F19" t="inlineStr">
        <is>
          <t>VÄSTERBOTTENS LÄN</t>
        </is>
      </c>
      <c r="G19" t="inlineStr">
        <is>
          <t>MALÅ</t>
        </is>
      </c>
      <c r="I19" t="n">
        <v>10.9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24925-2025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45799</v>
      </c>
      <c r="E20" s="1" t="n">
        <v>46256</v>
      </c>
      <c r="F20" t="inlineStr">
        <is>
          <t>VÄSTERBOTTENS LÄN</t>
        </is>
      </c>
      <c r="G20" t="inlineStr">
        <is>
          <t>MALÅ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37785-2023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45159</v>
      </c>
      <c r="E21" s="1" t="n">
        <v>46256</v>
      </c>
      <c r="F21" t="inlineStr">
        <is>
          <t>VÄSTERBOTTENS LÄN</t>
        </is>
      </c>
      <c r="G21" t="inlineStr">
        <is>
          <t>MALÅ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46256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24681-2025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45798</v>
      </c>
      <c r="E23" s="1" t="n">
        <v>46256</v>
      </c>
      <c r="F23" t="inlineStr">
        <is>
          <t>VÄSTERBOTTENS LÄN</t>
        </is>
      </c>
      <c r="G23" t="inlineStr">
        <is>
          <t>MALÅ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49011-2023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45204</v>
      </c>
      <c r="E24" s="1" t="n">
        <v>46256</v>
      </c>
      <c r="F24" t="inlineStr">
        <is>
          <t>VÄSTERBOTTENS LÄN</t>
        </is>
      </c>
      <c r="G24" t="inlineStr">
        <is>
          <t>MALÅ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49013-2023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45204</v>
      </c>
      <c r="E25" s="1" t="n">
        <v>46256</v>
      </c>
      <c r="F25" t="inlineStr">
        <is>
          <t>VÄSTERBOTTENS LÄN</t>
        </is>
      </c>
      <c r="G25" t="inlineStr">
        <is>
          <t>MALÅ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29375-2023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45098</v>
      </c>
      <c r="E26" s="1" t="n">
        <v>46256</v>
      </c>
      <c r="F26" t="inlineStr">
        <is>
          <t>VÄSTERBOTTENS LÄN</t>
        </is>
      </c>
      <c r="G26" t="inlineStr">
        <is>
          <t>MALÅ</t>
        </is>
      </c>
      <c r="I26" t="n">
        <v>10.5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44740</v>
      </c>
      <c r="E27" s="1" t="n">
        <v>46256</v>
      </c>
      <c r="F27" t="inlineStr">
        <is>
          <t>VÄSTERBOTTENS LÄN</t>
        </is>
      </c>
      <c r="G27" t="inlineStr">
        <is>
          <t>MALÅ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45642</v>
      </c>
      <c r="E28" s="1" t="n">
        <v>46256</v>
      </c>
      <c r="F28" t="inlineStr">
        <is>
          <t>VÄSTERBOTTENS LÄN</t>
        </is>
      </c>
      <c r="G28" t="inlineStr">
        <is>
          <t>MALÅ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45642</v>
      </c>
      <c r="E29" s="1" t="n">
        <v>46256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7007-2023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44967</v>
      </c>
      <c r="E30" s="1" t="n">
        <v>46256</v>
      </c>
      <c r="F30" t="inlineStr">
        <is>
          <t>VÄSTERBOTTENS LÄN</t>
        </is>
      </c>
      <c r="G30" t="inlineStr">
        <is>
          <t>MALÅ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38877-2023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46256</v>
      </c>
      <c r="F31" t="inlineStr">
        <is>
          <t>VÄSTERBOTTENS LÄN</t>
        </is>
      </c>
      <c r="G31" t="inlineStr">
        <is>
          <t>MALÅ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42182-2023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45178</v>
      </c>
      <c r="E32" s="1" t="n">
        <v>46256</v>
      </c>
      <c r="F32" t="inlineStr">
        <is>
          <t>VÄSTERBOTTENS LÄN</t>
        </is>
      </c>
      <c r="G32" t="inlineStr">
        <is>
          <t>MALÅ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37444-2023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46256</v>
      </c>
      <c r="F33" t="inlineStr">
        <is>
          <t>VÄSTERBOTTENS LÄN</t>
        </is>
      </c>
      <c r="G33" t="inlineStr">
        <is>
          <t>MALÅ</t>
        </is>
      </c>
      <c r="I33" t="n">
        <v>5.6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37537-2023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45158</v>
      </c>
      <c r="E34" s="1" t="n">
        <v>46256</v>
      </c>
      <c r="F34" t="inlineStr">
        <is>
          <t>VÄSTERBOTTENS LÄN</t>
        </is>
      </c>
      <c r="G34" t="inlineStr">
        <is>
          <t>MALÅ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39788-2023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45167</v>
      </c>
      <c r="E35" s="1" t="n">
        <v>46256</v>
      </c>
      <c r="F35" t="inlineStr">
        <is>
          <t>VÄSTERBOTTENS LÄN</t>
        </is>
      </c>
      <c r="G35" t="inlineStr">
        <is>
          <t>MALÅ</t>
        </is>
      </c>
      <c r="I35" t="n">
        <v>5.3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44587</v>
      </c>
      <c r="E36" s="1" t="n">
        <v>46256</v>
      </c>
      <c r="F36" t="inlineStr">
        <is>
          <t>VÄSTERBOTTENS LÄN</t>
        </is>
      </c>
      <c r="G36" t="inlineStr">
        <is>
          <t>MALÅ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36054-2023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45148</v>
      </c>
      <c r="E37" s="1" t="n">
        <v>46256</v>
      </c>
      <c r="F37" t="inlineStr">
        <is>
          <t>VÄSTERBOTTENS LÄN</t>
        </is>
      </c>
      <c r="G37" t="inlineStr">
        <is>
          <t>MALÅ</t>
        </is>
      </c>
      <c r="I37" t="n">
        <v>16.2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41792-2023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46256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10.7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46256</v>
      </c>
      <c r="F39" t="inlineStr">
        <is>
          <t>VÄSTERBOTTENS LÄN</t>
        </is>
      </c>
      <c r="G39" t="inlineStr">
        <is>
          <t>MALÅ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48089-2024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45589</v>
      </c>
      <c r="E40" s="1" t="n">
        <v>46256</v>
      </c>
      <c r="F40" t="inlineStr">
        <is>
          <t>VÄSTERBOTTENS LÄN</t>
        </is>
      </c>
      <c r="G40" t="inlineStr">
        <is>
          <t>MALÅ</t>
        </is>
      </c>
      <c r="H40" t="inlineStr">
        <is>
          <t>SCA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52795-2024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45610</v>
      </c>
      <c r="E41" s="1" t="n">
        <v>46256</v>
      </c>
      <c r="F41" t="inlineStr">
        <is>
          <t>VÄSTERBOTTENS LÄN</t>
        </is>
      </c>
      <c r="G41" t="inlineStr">
        <is>
          <t>MALÅ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45549-2021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44440</v>
      </c>
      <c r="E42" s="1" t="n">
        <v>46256</v>
      </c>
      <c r="F42" t="inlineStr">
        <is>
          <t>VÄSTERBOTTENS LÄN</t>
        </is>
      </c>
      <c r="G42" t="inlineStr">
        <is>
          <t>MALÅ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39320-2023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46256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84.5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45890</v>
      </c>
      <c r="E44" s="1" t="n">
        <v>46256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46256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45890</v>
      </c>
      <c r="E46" s="1" t="n">
        <v>46256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45502</v>
      </c>
      <c r="E47" s="1" t="n">
        <v>46256</v>
      </c>
      <c r="F47" t="inlineStr">
        <is>
          <t>VÄSTERBOTTENS LÄN</t>
        </is>
      </c>
      <c r="G47" t="inlineStr">
        <is>
          <t>MALÅ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55672-2023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45238</v>
      </c>
      <c r="E48" s="1" t="n">
        <v>46256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54841-2023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46256</v>
      </c>
      <c r="F49" t="inlineStr">
        <is>
          <t>VÄSTERBOTTENS LÄN</t>
        </is>
      </c>
      <c r="G49" t="inlineStr">
        <is>
          <t>MALÅ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37171-2023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46256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15857-2023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45022</v>
      </c>
      <c r="E51" s="1" t="n">
        <v>46256</v>
      </c>
      <c r="F51" t="inlineStr">
        <is>
          <t>VÄSTERBOTTENS LÄN</t>
        </is>
      </c>
      <c r="G51" t="inlineStr">
        <is>
          <t>MALÅ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41212-2025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46256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17.6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45807-2023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45189</v>
      </c>
      <c r="E53" s="1" t="n">
        <v>46256</v>
      </c>
      <c r="F53" t="inlineStr">
        <is>
          <t>VÄSTERBOTTENS LÄN</t>
        </is>
      </c>
      <c r="G53" t="inlineStr">
        <is>
          <t>MALÅ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46256</v>
      </c>
      <c r="F54" t="inlineStr">
        <is>
          <t>VÄSTERBOTTENS LÄN</t>
        </is>
      </c>
      <c r="G54" t="inlineStr">
        <is>
          <t>MALÅ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40943-2025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45897</v>
      </c>
      <c r="E55" s="1" t="n">
        <v>46256</v>
      </c>
      <c r="F55" t="inlineStr">
        <is>
          <t>VÄSTERBOTTENS LÄN</t>
        </is>
      </c>
      <c r="G55" t="inlineStr">
        <is>
          <t>MALÅ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46256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22.4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46256</v>
      </c>
      <c r="F57" t="inlineStr">
        <is>
          <t>VÄSTERBOTTENS LÄN</t>
        </is>
      </c>
      <c r="G57" t="inlineStr">
        <is>
          <t>MALÅ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41191-2025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46256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46256</v>
      </c>
      <c r="F59" t="inlineStr">
        <is>
          <t>VÄSTERBOTTENS LÄN</t>
        </is>
      </c>
      <c r="G59" t="inlineStr">
        <is>
          <t>MALÅ</t>
        </is>
      </c>
      <c r="I59" t="n">
        <v>73.7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53657-2023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45230</v>
      </c>
      <c r="E60" s="1" t="n">
        <v>46256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46256</v>
      </c>
      <c r="F61" t="inlineStr">
        <is>
          <t>VÄSTERBOTTENS LÄN</t>
        </is>
      </c>
      <c r="G61" t="inlineStr">
        <is>
          <t>MALÅ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45166</v>
      </c>
      <c r="E62" s="1" t="n">
        <v>46256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45170</v>
      </c>
      <c r="E63" s="1" t="n">
        <v>46256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18.2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48322-2023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45201</v>
      </c>
      <c r="E64" s="1" t="n">
        <v>46256</v>
      </c>
      <c r="F64" t="inlineStr">
        <is>
          <t>VÄSTERBOTTENS LÄN</t>
        </is>
      </c>
      <c r="G64" t="inlineStr">
        <is>
          <t>MALÅ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60168-2024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45639</v>
      </c>
      <c r="E65" s="1" t="n">
        <v>46256</v>
      </c>
      <c r="F65" t="inlineStr">
        <is>
          <t>VÄSTERBOTTENS LÄN</t>
        </is>
      </c>
      <c r="G65" t="inlineStr">
        <is>
          <t>MALÅ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45736</v>
      </c>
      <c r="E66" s="1" t="n">
        <v>46256</v>
      </c>
      <c r="F66" t="inlineStr">
        <is>
          <t>VÄSTERBOTTENS LÄN</t>
        </is>
      </c>
      <c r="G66" t="inlineStr">
        <is>
          <t>MALÅ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37535-2023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45158</v>
      </c>
      <c r="E67" s="1" t="n">
        <v>46256</v>
      </c>
      <c r="F67" t="inlineStr">
        <is>
          <t>VÄSTERBOTTENS LÄN</t>
        </is>
      </c>
      <c r="G67" t="inlineStr">
        <is>
          <t>MALÅ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46063-2023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45196</v>
      </c>
      <c r="E68" s="1" t="n">
        <v>46256</v>
      </c>
      <c r="F68" t="inlineStr">
        <is>
          <t>VÄSTERBOTTENS LÄN</t>
        </is>
      </c>
      <c r="G68" t="inlineStr">
        <is>
          <t>MALÅ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45202</v>
      </c>
      <c r="E69" s="1" t="n">
        <v>46256</v>
      </c>
      <c r="F69" t="inlineStr">
        <is>
          <t>VÄSTERBOTTENS LÄN</t>
        </is>
      </c>
      <c r="G69" t="inlineStr">
        <is>
          <t>MALÅ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45166</v>
      </c>
      <c r="E70" s="1" t="n">
        <v>46256</v>
      </c>
      <c r="F70" t="inlineStr">
        <is>
          <t>VÄSTERBOTTENS LÄN</t>
        </is>
      </c>
      <c r="G70" t="inlineStr">
        <is>
          <t>MALÅ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48348-2023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45201</v>
      </c>
      <c r="E71" s="1" t="n">
        <v>46256</v>
      </c>
      <c r="F71" t="inlineStr">
        <is>
          <t>VÄSTERBOTTENS LÄN</t>
        </is>
      </c>
      <c r="G71" t="inlineStr">
        <is>
          <t>MALÅ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45232</v>
      </c>
      <c r="E72" s="1" t="n">
        <v>46256</v>
      </c>
      <c r="F72" t="inlineStr">
        <is>
          <t>VÄSTERBOTTENS LÄN</t>
        </is>
      </c>
      <c r="G72" t="inlineStr">
        <is>
          <t>MALÅ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32618-2023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46256</v>
      </c>
      <c r="F73" t="inlineStr">
        <is>
          <t>VÄSTERBOTTENS LÄN</t>
        </is>
      </c>
      <c r="G73" t="inlineStr">
        <is>
          <t>MALÅ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46280-2023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45195</v>
      </c>
      <c r="E74" s="1" t="n">
        <v>46256</v>
      </c>
      <c r="F74" t="inlineStr">
        <is>
          <t>VÄSTERBOTTENS LÄN</t>
        </is>
      </c>
      <c r="G74" t="inlineStr">
        <is>
          <t>MALÅ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45932</v>
      </c>
      <c r="E75" s="1" t="n">
        <v>46256</v>
      </c>
      <c r="F75" t="inlineStr">
        <is>
          <t>VÄSTERBOTTENS LÄN</t>
        </is>
      </c>
      <c r="G75" t="inlineStr">
        <is>
          <t>MALÅ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46256</v>
      </c>
      <c r="F76" t="inlineStr">
        <is>
          <t>VÄSTERBOTTENS LÄN</t>
        </is>
      </c>
      <c r="G76" t="inlineStr">
        <is>
          <t>MALÅ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46256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45187</v>
      </c>
      <c r="E78" s="1" t="n">
        <v>46256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46256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36144-2023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45149</v>
      </c>
      <c r="E80" s="1" t="n">
        <v>46256</v>
      </c>
      <c r="F80" t="inlineStr">
        <is>
          <t>VÄSTERBOTTENS LÄN</t>
        </is>
      </c>
      <c r="G80" t="inlineStr">
        <is>
          <t>MALÅ</t>
        </is>
      </c>
      <c r="I80" t="n">
        <v>147.1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46256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45939</v>
      </c>
      <c r="E82" s="1" t="n">
        <v>46256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46256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46256</v>
      </c>
      <c r="F84" t="inlineStr">
        <is>
          <t>VÄSTERBOTTENS LÄN</t>
        </is>
      </c>
      <c r="G84" t="inlineStr">
        <is>
          <t>MALÅ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45190</v>
      </c>
      <c r="E85" s="1" t="n">
        <v>46256</v>
      </c>
      <c r="F85" t="inlineStr">
        <is>
          <t>VÄSTERBOTTENS LÄN</t>
        </is>
      </c>
      <c r="G85" t="inlineStr">
        <is>
          <t>MALÅ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45101-2023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46256</v>
      </c>
      <c r="F86" t="inlineStr">
        <is>
          <t>VÄSTERBOTTENS LÄN</t>
        </is>
      </c>
      <c r="G86" t="inlineStr">
        <is>
          <t>MALÅ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46256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44792</v>
      </c>
      <c r="E88" s="1" t="n">
        <v>46256</v>
      </c>
      <c r="F88" t="inlineStr">
        <is>
          <t>VÄSTERBOTTENS LÄN</t>
        </is>
      </c>
      <c r="G88" t="inlineStr">
        <is>
          <t>MALÅ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46256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68036-2021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46256</v>
      </c>
      <c r="F90" t="inlineStr">
        <is>
          <t>VÄSTERBOTTENS LÄN</t>
        </is>
      </c>
      <c r="G90" t="inlineStr">
        <is>
          <t>MALÅ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46256</v>
      </c>
      <c r="F91" t="inlineStr">
        <is>
          <t>VÄSTERBOTTENS LÄN</t>
        </is>
      </c>
      <c r="G91" t="inlineStr">
        <is>
          <t>MALÅ</t>
        </is>
      </c>
      <c r="I91" t="n">
        <v>15.7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46256</v>
      </c>
      <c r="F92" t="inlineStr">
        <is>
          <t>VÄSTERBOTTENS LÄN</t>
        </is>
      </c>
      <c r="G92" t="inlineStr">
        <is>
          <t>MALÅ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45267</v>
      </c>
      <c r="E93" s="1" t="n">
        <v>46256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46256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46256</v>
      </c>
      <c r="F95" t="inlineStr">
        <is>
          <t>VÄSTERBOTTENS LÄN</t>
        </is>
      </c>
      <c r="G95" t="inlineStr">
        <is>
          <t>MALÅ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43501-2023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45184</v>
      </c>
      <c r="E96" s="1" t="n">
        <v>46256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45229</v>
      </c>
      <c r="E97" s="1" t="n">
        <v>46256</v>
      </c>
      <c r="F97" t="inlineStr">
        <is>
          <t>VÄSTERBOTTENS LÄN</t>
        </is>
      </c>
      <c r="G97" t="inlineStr">
        <is>
          <t>MALÅ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46256</v>
      </c>
      <c r="F98" t="inlineStr">
        <is>
          <t>VÄSTERBOTTENS LÄN</t>
        </is>
      </c>
      <c r="G98" t="inlineStr">
        <is>
          <t>MALÅ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46256</v>
      </c>
      <c r="F99" t="inlineStr">
        <is>
          <t>VÄSTERBOTTENS LÄN</t>
        </is>
      </c>
      <c r="G99" t="inlineStr">
        <is>
          <t>MALÅ</t>
        </is>
      </c>
      <c r="H99" t="inlineStr">
        <is>
          <t>SCA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46256</v>
      </c>
      <c r="F100" t="inlineStr">
        <is>
          <t>VÄSTERBOTTENS LÄN</t>
        </is>
      </c>
      <c r="G100" t="inlineStr">
        <is>
          <t>MALÅ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46256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46256</v>
      </c>
      <c r="F102" t="inlineStr">
        <is>
          <t>VÄSTERBOTTENS LÄN</t>
        </is>
      </c>
      <c r="G102" t="inlineStr">
        <is>
          <t>MALÅ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46256</v>
      </c>
      <c r="F103" t="inlineStr">
        <is>
          <t>VÄSTERBOTTENS LÄN</t>
        </is>
      </c>
      <c r="G103" t="inlineStr">
        <is>
          <t>MALÅ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46256</v>
      </c>
      <c r="F104" t="inlineStr">
        <is>
          <t>VÄSTERBOTTENS LÄN</t>
        </is>
      </c>
      <c r="G104" t="inlineStr">
        <is>
          <t>MALÅ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46256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46256</v>
      </c>
      <c r="F106" t="inlineStr">
        <is>
          <t>VÄSTERBOTTENS LÄN</t>
        </is>
      </c>
      <c r="G106" t="inlineStr">
        <is>
          <t>MALÅ</t>
        </is>
      </c>
      <c r="H106" t="inlineStr">
        <is>
          <t>SCA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44928</v>
      </c>
      <c r="E107" s="1" t="n">
        <v>46256</v>
      </c>
      <c r="F107" t="inlineStr">
        <is>
          <t>VÄSTERBOTTENS LÄN</t>
        </is>
      </c>
      <c r="G107" t="inlineStr">
        <is>
          <t>MALÅ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46256</v>
      </c>
      <c r="F108" t="inlineStr">
        <is>
          <t>VÄSTERBOTTENS LÄN</t>
        </is>
      </c>
      <c r="G108" t="inlineStr">
        <is>
          <t>MALÅ</t>
        </is>
      </c>
      <c r="I108" t="n">
        <v>11.4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48353-2023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46256</v>
      </c>
      <c r="F109" t="inlineStr">
        <is>
          <t>VÄSTERBOTTENS LÄN</t>
        </is>
      </c>
      <c r="G109" t="inlineStr">
        <is>
          <t>MALÅ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46256</v>
      </c>
      <c r="F110" t="inlineStr">
        <is>
          <t>VÄSTERBOTTENS LÄN</t>
        </is>
      </c>
      <c r="G110" t="inlineStr">
        <is>
          <t>MALÅ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45688</v>
      </c>
      <c r="E111" s="1" t="n">
        <v>46256</v>
      </c>
      <c r="F111" t="inlineStr">
        <is>
          <t>VÄSTERBOTTENS LÄN</t>
        </is>
      </c>
      <c r="G111" t="inlineStr">
        <is>
          <t>MALÅ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46256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45217</v>
      </c>
      <c r="E113" s="1" t="n">
        <v>46256</v>
      </c>
      <c r="F113" t="inlineStr">
        <is>
          <t>VÄSTERBOTTENS LÄN</t>
        </is>
      </c>
      <c r="G113" t="inlineStr">
        <is>
          <t>MALÅ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46256</v>
      </c>
      <c r="F114" t="inlineStr">
        <is>
          <t>VÄSTERBOTTENS LÄN</t>
        </is>
      </c>
      <c r="G114" t="inlineStr">
        <is>
          <t>MALÅ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46256</v>
      </c>
      <c r="F115" t="inlineStr">
        <is>
          <t>VÄSTERBOTTENS LÄN</t>
        </is>
      </c>
      <c r="G115" t="inlineStr">
        <is>
          <t>MALÅ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44575</v>
      </c>
      <c r="E116" s="1" t="n">
        <v>46256</v>
      </c>
      <c r="F116" t="inlineStr">
        <is>
          <t>VÄSTERBOTTENS LÄN</t>
        </is>
      </c>
      <c r="G116" t="inlineStr">
        <is>
          <t>MALÅ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45175</v>
      </c>
      <c r="E117" s="1" t="n">
        <v>46256</v>
      </c>
      <c r="F117" t="inlineStr">
        <is>
          <t>VÄSTERBOTTENS LÄN</t>
        </is>
      </c>
      <c r="G117" t="inlineStr">
        <is>
          <t>MALÅ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46377-2023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45193</v>
      </c>
      <c r="E118" s="1" t="n">
        <v>46256</v>
      </c>
      <c r="F118" t="inlineStr">
        <is>
          <t>VÄSTERBOTTENS LÄN</t>
        </is>
      </c>
      <c r="G118" t="inlineStr">
        <is>
          <t>MALÅ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45193</v>
      </c>
      <c r="E119" s="1" t="n">
        <v>46256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45964</v>
      </c>
      <c r="E120" s="1" t="n">
        <v>46256</v>
      </c>
      <c r="F120" t="inlineStr">
        <is>
          <t>VÄSTERBOTTENS LÄN</t>
        </is>
      </c>
      <c r="G120" t="inlineStr">
        <is>
          <t>MALÅ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54628-2025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45966</v>
      </c>
      <c r="E121" s="1" t="n">
        <v>46256</v>
      </c>
      <c r="F121" t="inlineStr">
        <is>
          <t>VÄSTERBOTTENS LÄN</t>
        </is>
      </c>
      <c r="G121" t="inlineStr">
        <is>
          <t>MALÅ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45966</v>
      </c>
      <c r="E122" s="1" t="n">
        <v>46256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45384</v>
      </c>
      <c r="E123" s="1" t="n">
        <v>46256</v>
      </c>
      <c r="F123" t="inlineStr">
        <is>
          <t>VÄSTERBOTTENS LÄN</t>
        </is>
      </c>
      <c r="G123" t="inlineStr">
        <is>
          <t>MALÅ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46256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46256</v>
      </c>
      <c r="F125" t="inlineStr">
        <is>
          <t>VÄSTERBOTTENS LÄN</t>
        </is>
      </c>
      <c r="G125" t="inlineStr">
        <is>
          <t>MALÅ</t>
        </is>
      </c>
      <c r="H125" t="inlineStr">
        <is>
          <t>Kyrkan</t>
        </is>
      </c>
      <c r="I125" t="n">
        <v>27.3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54463-2025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45964</v>
      </c>
      <c r="E126" s="1" t="n">
        <v>46256</v>
      </c>
      <c r="F126" t="inlineStr">
        <is>
          <t>VÄSTERBOTTENS LÄN</t>
        </is>
      </c>
      <c r="G126" t="inlineStr">
        <is>
          <t>MALÅ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45504</v>
      </c>
      <c r="E127" s="1" t="n">
        <v>46256</v>
      </c>
      <c r="F127" t="inlineStr">
        <is>
          <t>VÄSTERBOTTENS LÄN</t>
        </is>
      </c>
      <c r="G127" t="inlineStr">
        <is>
          <t>MALÅ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54455-2025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45964</v>
      </c>
      <c r="E128" s="1" t="n">
        <v>46256</v>
      </c>
      <c r="F128" t="inlineStr">
        <is>
          <t>VÄSTERBOTTENS LÄN</t>
        </is>
      </c>
      <c r="G128" t="inlineStr">
        <is>
          <t>MALÅ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46256</v>
      </c>
      <c r="F129" t="inlineStr">
        <is>
          <t>VÄSTERBOTTENS LÄN</t>
        </is>
      </c>
      <c r="G129" t="inlineStr">
        <is>
          <t>MALÅ</t>
        </is>
      </c>
      <c r="I129" t="n">
        <v>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45210</v>
      </c>
      <c r="E130" s="1" t="n">
        <v>46256</v>
      </c>
      <c r="F130" t="inlineStr">
        <is>
          <t>VÄSTERBOTTENS LÄN</t>
        </is>
      </c>
      <c r="G130" t="inlineStr">
        <is>
          <t>MALÅ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45595</v>
      </c>
      <c r="E131" s="1" t="n">
        <v>46256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20234-2023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45054</v>
      </c>
      <c r="E132" s="1" t="n">
        <v>46256</v>
      </c>
      <c r="F132" t="inlineStr">
        <is>
          <t>VÄSTERBOTTENS LÄN</t>
        </is>
      </c>
      <c r="G132" t="inlineStr">
        <is>
          <t>MALÅ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45973</v>
      </c>
      <c r="E133" s="1" t="n">
        <v>46256</v>
      </c>
      <c r="F133" t="inlineStr">
        <is>
          <t>VÄSTERBOTTENS LÄN</t>
        </is>
      </c>
      <c r="G133" t="inlineStr">
        <is>
          <t>MALÅ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45148</v>
      </c>
      <c r="E134" s="1" t="n">
        <v>46256</v>
      </c>
      <c r="F134" t="inlineStr">
        <is>
          <t>VÄSTERBOTTENS LÄN</t>
        </is>
      </c>
      <c r="G134" t="inlineStr">
        <is>
          <t>MALÅ</t>
        </is>
      </c>
      <c r="I134" t="n">
        <v>26.3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46256</v>
      </c>
      <c r="F135" t="inlineStr">
        <is>
          <t>VÄSTERBOTTENS LÄN</t>
        </is>
      </c>
      <c r="G135" t="inlineStr">
        <is>
          <t>MALÅ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13001-2023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45002</v>
      </c>
      <c r="E136" s="1" t="n">
        <v>46256</v>
      </c>
      <c r="F136" t="inlineStr">
        <is>
          <t>VÄSTERBOTTENS LÄN</t>
        </is>
      </c>
      <c r="G136" t="inlineStr">
        <is>
          <t>MALÅ</t>
        </is>
      </c>
      <c r="H136" t="inlineStr">
        <is>
          <t>SCA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46256</v>
      </c>
      <c r="F137" t="inlineStr">
        <is>
          <t>VÄSTERBOTTENS LÄN</t>
        </is>
      </c>
      <c r="G137" t="inlineStr">
        <is>
          <t>MALÅ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45000</v>
      </c>
      <c r="E138" s="1" t="n">
        <v>46256</v>
      </c>
      <c r="F138" t="inlineStr">
        <is>
          <t>VÄSTERBOTTENS LÄN</t>
        </is>
      </c>
      <c r="G138" t="inlineStr">
        <is>
          <t>MALÅ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46256</v>
      </c>
      <c r="F139" t="inlineStr">
        <is>
          <t>VÄSTERBOTTENS LÄN</t>
        </is>
      </c>
      <c r="G139" t="inlineStr">
        <is>
          <t>MALÅ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46256</v>
      </c>
      <c r="F140" t="inlineStr">
        <is>
          <t>VÄSTERBOTTENS LÄN</t>
        </is>
      </c>
      <c r="G140" t="inlineStr">
        <is>
          <t>MALÅ</t>
        </is>
      </c>
      <c r="H140" t="inlineStr">
        <is>
          <t>SCA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45750</v>
      </c>
      <c r="E141" s="1" t="n">
        <v>46256</v>
      </c>
      <c r="F141" t="inlineStr">
        <is>
          <t>VÄSTERBOTTENS LÄN</t>
        </is>
      </c>
      <c r="G141" t="inlineStr">
        <is>
          <t>MALÅ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45660</v>
      </c>
      <c r="E142" s="1" t="n">
        <v>46256</v>
      </c>
      <c r="F142" t="inlineStr">
        <is>
          <t>VÄSTERBOTTENS LÄN</t>
        </is>
      </c>
      <c r="G142" t="inlineStr">
        <is>
          <t>MALÅ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46256</v>
      </c>
      <c r="F143" t="inlineStr">
        <is>
          <t>VÄSTERBOTTENS LÄN</t>
        </is>
      </c>
      <c r="G143" t="inlineStr">
        <is>
          <t>MALÅ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46256</v>
      </c>
      <c r="F144" t="inlineStr">
        <is>
          <t>VÄSTERBOTTENS LÄN</t>
        </is>
      </c>
      <c r="G144" t="inlineStr">
        <is>
          <t>MALÅ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46256</v>
      </c>
      <c r="F145" t="inlineStr">
        <is>
          <t>VÄSTERBOTTENS LÄN</t>
        </is>
      </c>
      <c r="G145" t="inlineStr">
        <is>
          <t>MALÅ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46256</v>
      </c>
      <c r="F146" t="inlineStr">
        <is>
          <t>VÄSTERBOTTENS LÄN</t>
        </is>
      </c>
      <c r="G146" t="inlineStr">
        <is>
          <t>MALÅ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46256</v>
      </c>
      <c r="F147" t="inlineStr">
        <is>
          <t>VÄSTERBOTTENS LÄN</t>
        </is>
      </c>
      <c r="G147" t="inlineStr">
        <is>
          <t>MALÅ</t>
        </is>
      </c>
      <c r="I147" t="n">
        <v>20.7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45166</v>
      </c>
      <c r="E148" s="1" t="n">
        <v>46256</v>
      </c>
      <c r="F148" t="inlineStr">
        <is>
          <t>VÄSTERBOTTENS LÄN</t>
        </is>
      </c>
      <c r="G148" t="inlineStr">
        <is>
          <t>MALÅ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46256</v>
      </c>
      <c r="F149" t="inlineStr">
        <is>
          <t>VÄSTERBOTTENS LÄN</t>
        </is>
      </c>
      <c r="G149" t="inlineStr">
        <is>
          <t>MALÅ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45987</v>
      </c>
      <c r="E150" s="1" t="n">
        <v>46256</v>
      </c>
      <c r="F150" t="inlineStr">
        <is>
          <t>VÄSTERBOTTENS LÄN</t>
        </is>
      </c>
      <c r="G150" t="inlineStr">
        <is>
          <t>MALÅ</t>
        </is>
      </c>
      <c r="I150" t="n">
        <v>19.2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45987</v>
      </c>
      <c r="E151" s="1" t="n">
        <v>46256</v>
      </c>
      <c r="F151" t="inlineStr">
        <is>
          <t>VÄSTERBOTTENS LÄN</t>
        </is>
      </c>
      <c r="G151" t="inlineStr">
        <is>
          <t>MALÅ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45182</v>
      </c>
      <c r="E152" s="1" t="n">
        <v>46256</v>
      </c>
      <c r="F152" t="inlineStr">
        <is>
          <t>VÄSTERBOTTENS LÄN</t>
        </is>
      </c>
      <c r="G152" t="inlineStr">
        <is>
          <t>MALÅ</t>
        </is>
      </c>
      <c r="I152" t="n">
        <v>10.5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45227</v>
      </c>
      <c r="E153" s="1" t="n">
        <v>46256</v>
      </c>
      <c r="F153" t="inlineStr">
        <is>
          <t>VÄSTERBOTTENS LÄN</t>
        </is>
      </c>
      <c r="G153" t="inlineStr">
        <is>
          <t>MALÅ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44911</v>
      </c>
      <c r="E154" s="1" t="n">
        <v>46256</v>
      </c>
      <c r="F154" t="inlineStr">
        <is>
          <t>VÄSTERBOTTENS LÄN</t>
        </is>
      </c>
      <c r="G154" t="inlineStr">
        <is>
          <t>MALÅ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46256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45540</v>
      </c>
      <c r="E156" s="1" t="n">
        <v>46256</v>
      </c>
      <c r="F156" t="inlineStr">
        <is>
          <t>VÄSTERBOTTENS LÄN</t>
        </is>
      </c>
      <c r="G156" t="inlineStr">
        <is>
          <t>MALÅ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45219</v>
      </c>
      <c r="E157" s="1" t="n">
        <v>46256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10.8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46256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46256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46256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46256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46256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45225</v>
      </c>
      <c r="E163" s="1" t="n">
        <v>46256</v>
      </c>
      <c r="F163" t="inlineStr">
        <is>
          <t>VÄSTERBOTTENS LÄN</t>
        </is>
      </c>
      <c r="G163" t="inlineStr">
        <is>
          <t>MALÅ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45193</v>
      </c>
      <c r="E164" s="1" t="n">
        <v>46256</v>
      </c>
      <c r="F164" t="inlineStr">
        <is>
          <t>VÄSTERBOTTENS LÄN</t>
        </is>
      </c>
      <c r="G164" t="inlineStr">
        <is>
          <t>MALÅ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45812-2023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46256</v>
      </c>
      <c r="F165" t="inlineStr">
        <is>
          <t>VÄSTERBOTTENS LÄN</t>
        </is>
      </c>
      <c r="G165" t="inlineStr">
        <is>
          <t>MALÅ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67679-2021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44524</v>
      </c>
      <c r="E166" s="1" t="n">
        <v>46256</v>
      </c>
      <c r="F166" t="inlineStr">
        <is>
          <t>VÄSTERBOTTENS LÄN</t>
        </is>
      </c>
      <c r="G166" t="inlineStr">
        <is>
          <t>MALÅ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45179</v>
      </c>
      <c r="E167" s="1" t="n">
        <v>46256</v>
      </c>
      <c r="F167" t="inlineStr">
        <is>
          <t>VÄSTERBOTTENS LÄN</t>
        </is>
      </c>
      <c r="G167" t="inlineStr">
        <is>
          <t>MALÅ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46256</v>
      </c>
      <c r="F168" t="inlineStr">
        <is>
          <t>VÄSTERBOTTENS LÄN</t>
        </is>
      </c>
      <c r="G168" t="inlineStr">
        <is>
          <t>MALÅ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46256</v>
      </c>
      <c r="F169" t="inlineStr">
        <is>
          <t>VÄSTERBOTTENS LÄN</t>
        </is>
      </c>
      <c r="G169" t="inlineStr">
        <is>
          <t>MALÅ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46256</v>
      </c>
      <c r="F170" t="inlineStr">
        <is>
          <t>VÄSTERBOTTENS LÄN</t>
        </is>
      </c>
      <c r="G170" t="inlineStr">
        <is>
          <t>MALÅ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46256</v>
      </c>
      <c r="F171" t="inlineStr">
        <is>
          <t>VÄSTERBOTTENS LÄN</t>
        </is>
      </c>
      <c r="G171" t="inlineStr">
        <is>
          <t>MALÅ</t>
        </is>
      </c>
      <c r="I171" t="n">
        <v>19.5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45114-2021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44439</v>
      </c>
      <c r="E172" s="1" t="n">
        <v>46256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48.3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46256</v>
      </c>
      <c r="F173" t="inlineStr">
        <is>
          <t>VÄSTERBOTTENS LÄN</t>
        </is>
      </c>
      <c r="G173" t="inlineStr">
        <is>
          <t>MALÅ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42383-2023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46256</v>
      </c>
      <c r="F174" t="inlineStr">
        <is>
          <t>VÄSTERBOTTENS LÄN</t>
        </is>
      </c>
      <c r="G174" t="inlineStr">
        <is>
          <t>MALÅ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45860</v>
      </c>
      <c r="E175" s="1" t="n">
        <v>46256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46256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12.7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45861</v>
      </c>
      <c r="E177" s="1" t="n">
        <v>46256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45861</v>
      </c>
      <c r="E178" s="1" t="n">
        <v>46256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46002</v>
      </c>
      <c r="E179" s="1" t="n">
        <v>46256</v>
      </c>
      <c r="F179" t="inlineStr">
        <is>
          <t>VÄSTERBOTTENS LÄN</t>
        </is>
      </c>
      <c r="G179" t="inlineStr">
        <is>
          <t>MALÅ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46256</v>
      </c>
      <c r="F180" t="inlineStr">
        <is>
          <t>VÄSTERBOTTENS LÄN</t>
        </is>
      </c>
      <c r="G180" t="inlineStr">
        <is>
          <t>MALÅ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45694</v>
      </c>
      <c r="E181" s="1" t="n">
        <v>46256</v>
      </c>
      <c r="F181" t="inlineStr">
        <is>
          <t>VÄSTERBOTTENS LÄN</t>
        </is>
      </c>
      <c r="G181" t="inlineStr">
        <is>
          <t>MALÅ</t>
        </is>
      </c>
      <c r="H181" t="inlineStr">
        <is>
          <t>SCA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44426-2023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45188</v>
      </c>
      <c r="E182" s="1" t="n">
        <v>46256</v>
      </c>
      <c r="F182" t="inlineStr">
        <is>
          <t>VÄSTERBOTTENS LÄN</t>
        </is>
      </c>
      <c r="G182" t="inlineStr">
        <is>
          <t>MALÅ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45860</v>
      </c>
      <c r="E183" s="1" t="n">
        <v>46256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46256</v>
      </c>
      <c r="F184" t="inlineStr">
        <is>
          <t>VÄSTERBOTTENS LÄN</t>
        </is>
      </c>
      <c r="G184" t="inlineStr">
        <is>
          <t>MALÅ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45174</v>
      </c>
      <c r="E185" s="1" t="n">
        <v>46256</v>
      </c>
      <c r="F185" t="inlineStr">
        <is>
          <t>VÄSTERBOTTENS LÄN</t>
        </is>
      </c>
      <c r="G185" t="inlineStr">
        <is>
          <t>MALÅ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41384-2023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45174</v>
      </c>
      <c r="E186" s="1" t="n">
        <v>46256</v>
      </c>
      <c r="F186" t="inlineStr">
        <is>
          <t>VÄSTERBOTTENS LÄN</t>
        </is>
      </c>
      <c r="G186" t="inlineStr">
        <is>
          <t>MALÅ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45861</v>
      </c>
      <c r="E187" s="1" t="n">
        <v>46256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46256</v>
      </c>
      <c r="F188" t="inlineStr">
        <is>
          <t>VÄSTERBOTTENS LÄN</t>
        </is>
      </c>
      <c r="G188" t="inlineStr">
        <is>
          <t>MALÅ</t>
        </is>
      </c>
      <c r="I188" t="n">
        <v>26.9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46256</v>
      </c>
      <c r="F189" t="inlineStr">
        <is>
          <t>VÄSTERBOTTENS LÄN</t>
        </is>
      </c>
      <c r="G189" t="inlineStr">
        <is>
          <t>MALÅ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45178</v>
      </c>
      <c r="E190" s="1" t="n">
        <v>46256</v>
      </c>
      <c r="F190" t="inlineStr">
        <is>
          <t>VÄSTERBOTTENS LÄN</t>
        </is>
      </c>
      <c r="G190" t="inlineStr">
        <is>
          <t>MALÅ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45203</v>
      </c>
      <c r="E191" s="1" t="n">
        <v>46256</v>
      </c>
      <c r="F191" t="inlineStr">
        <is>
          <t>VÄSTERBOTTENS LÄN</t>
        </is>
      </c>
      <c r="G191" t="inlineStr">
        <is>
          <t>MALÅ</t>
        </is>
      </c>
      <c r="I191" t="n">
        <v>7.5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45861</v>
      </c>
      <c r="E192" s="1" t="n">
        <v>46256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46256</v>
      </c>
      <c r="F193" t="inlineStr">
        <is>
          <t>VÄSTERBOTTENS LÄN</t>
        </is>
      </c>
      <c r="G193" t="inlineStr">
        <is>
          <t>MALÅ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45155</v>
      </c>
      <c r="E194" s="1" t="n">
        <v>46256</v>
      </c>
      <c r="F194" t="inlineStr">
        <is>
          <t>VÄSTERBOTTENS LÄN</t>
        </is>
      </c>
      <c r="G194" t="inlineStr">
        <is>
          <t>MALÅ</t>
        </is>
      </c>
      <c r="I194" t="n">
        <v>48.2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45154</v>
      </c>
      <c r="E195" s="1" t="n">
        <v>46256</v>
      </c>
      <c r="F195" t="inlineStr">
        <is>
          <t>VÄSTERBOTTENS LÄN</t>
        </is>
      </c>
      <c r="G195" t="inlineStr">
        <is>
          <t>MALÅ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45212</v>
      </c>
      <c r="E196" s="1" t="n">
        <v>46256</v>
      </c>
      <c r="F196" t="inlineStr">
        <is>
          <t>VÄSTERBOTTENS LÄN</t>
        </is>
      </c>
      <c r="G196" t="inlineStr">
        <is>
          <t>MALÅ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46256</v>
      </c>
      <c r="F197" t="inlineStr">
        <is>
          <t>VÄSTERBOTTENS LÄN</t>
        </is>
      </c>
      <c r="G197" t="inlineStr">
        <is>
          <t>MALÅ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46256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32772-2024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45516</v>
      </c>
      <c r="E199" s="1" t="n">
        <v>46256</v>
      </c>
      <c r="F199" t="inlineStr">
        <is>
          <t>VÄSTERBOTTENS LÄN</t>
        </is>
      </c>
      <c r="G199" t="inlineStr">
        <is>
          <t>MALÅ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46256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45867</v>
      </c>
      <c r="E201" s="1" t="n">
        <v>46256</v>
      </c>
      <c r="F201" t="inlineStr">
        <is>
          <t>VÄSTERBOTTENS LÄN</t>
        </is>
      </c>
      <c r="G201" t="inlineStr">
        <is>
          <t>MALÅ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2116-2023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44939</v>
      </c>
      <c r="E202" s="1" t="n">
        <v>46256</v>
      </c>
      <c r="F202" t="inlineStr">
        <is>
          <t>VÄSTERBOTTENS LÄN</t>
        </is>
      </c>
      <c r="G202" t="inlineStr">
        <is>
          <t>MALÅ</t>
        </is>
      </c>
      <c r="H202" t="inlineStr">
        <is>
          <t>SCA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46256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46027</v>
      </c>
      <c r="E204" s="1" t="n">
        <v>46256</v>
      </c>
      <c r="F204" t="inlineStr">
        <is>
          <t>VÄSTERBOTTENS LÄN</t>
        </is>
      </c>
      <c r="G204" t="inlineStr">
        <is>
          <t>MALÅ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46027</v>
      </c>
      <c r="E205" s="1" t="n">
        <v>46256</v>
      </c>
      <c r="F205" t="inlineStr">
        <is>
          <t>VÄSTERBOTTENS LÄN</t>
        </is>
      </c>
      <c r="G205" t="inlineStr">
        <is>
          <t>MALÅ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46256</v>
      </c>
      <c r="F206" t="inlineStr">
        <is>
          <t>VÄSTERBOTTENS LÄN</t>
        </is>
      </c>
      <c r="G206" t="inlineStr">
        <is>
          <t>MALÅ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45166</v>
      </c>
      <c r="E207" s="1" t="n">
        <v>46256</v>
      </c>
      <c r="F207" t="inlineStr">
        <is>
          <t>VÄSTERBOTTENS LÄN</t>
        </is>
      </c>
      <c r="G207" t="inlineStr">
        <is>
          <t>MALÅ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46256</v>
      </c>
      <c r="F208" t="inlineStr">
        <is>
          <t>VÄSTERBOTTENS LÄN</t>
        </is>
      </c>
      <c r="G208" t="inlineStr">
        <is>
          <t>MALÅ</t>
        </is>
      </c>
      <c r="I208" t="n">
        <v>10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44641</v>
      </c>
      <c r="E209" s="1" t="n">
        <v>46256</v>
      </c>
      <c r="F209" t="inlineStr">
        <is>
          <t>VÄSTERBOTTENS LÄN</t>
        </is>
      </c>
      <c r="G209" t="inlineStr">
        <is>
          <t>MALÅ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46256</v>
      </c>
      <c r="F210" t="inlineStr">
        <is>
          <t>VÄSTERBOTTENS LÄN</t>
        </is>
      </c>
      <c r="G210" t="inlineStr">
        <is>
          <t>MALÅ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46256</v>
      </c>
      <c r="F211" t="inlineStr">
        <is>
          <t>VÄSTERBOTTENS LÄN</t>
        </is>
      </c>
      <c r="G211" t="inlineStr">
        <is>
          <t>MALÅ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46256</v>
      </c>
      <c r="F212" t="inlineStr">
        <is>
          <t>VÄSTERBOTTENS LÄN</t>
        </is>
      </c>
      <c r="G212" t="inlineStr">
        <is>
          <t>MALÅ</t>
        </is>
      </c>
      <c r="I212" t="n">
        <v>9.5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46256</v>
      </c>
      <c r="F213" t="inlineStr">
        <is>
          <t>VÄSTERBOTTENS LÄN</t>
        </is>
      </c>
      <c r="G213" t="inlineStr">
        <is>
          <t>MALÅ</t>
        </is>
      </c>
      <c r="I213" t="n">
        <v>10.8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46256</v>
      </c>
      <c r="F214" t="inlineStr">
        <is>
          <t>VÄSTERBOTTENS LÄN</t>
        </is>
      </c>
      <c r="G214" t="inlineStr">
        <is>
          <t>MALÅ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1900-2026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46256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38312-2023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45161</v>
      </c>
      <c r="E216" s="1" t="n">
        <v>46256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63.6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56727-2022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44893</v>
      </c>
      <c r="E217" s="1" t="n">
        <v>46256</v>
      </c>
      <c r="F217" t="inlineStr">
        <is>
          <t>VÄSTERBOTTENS LÄN</t>
        </is>
      </c>
      <c r="G217" t="inlineStr">
        <is>
          <t>MALÅ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45625</v>
      </c>
      <c r="E218" s="1" t="n">
        <v>46256</v>
      </c>
      <c r="F218" t="inlineStr">
        <is>
          <t>VÄSTERBOTTENS LÄN</t>
        </is>
      </c>
      <c r="G218" t="inlineStr">
        <is>
          <t>MALÅ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46256</v>
      </c>
      <c r="F219" t="inlineStr">
        <is>
          <t>VÄSTERBOTTENS LÄN</t>
        </is>
      </c>
      <c r="G219" t="inlineStr">
        <is>
          <t>MALÅ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46256</v>
      </c>
      <c r="F220" t="inlineStr">
        <is>
          <t>VÄSTERBOTTENS LÄN</t>
        </is>
      </c>
      <c r="G220" t="inlineStr">
        <is>
          <t>MALÅ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46256</v>
      </c>
      <c r="F221" t="inlineStr">
        <is>
          <t>VÄSTERBOTTENS LÄN</t>
        </is>
      </c>
      <c r="G221" t="inlineStr">
        <is>
          <t>MALÅ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46256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11.2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46256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3471-2026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46042</v>
      </c>
      <c r="E224" s="1" t="n">
        <v>46256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46256</v>
      </c>
      <c r="F225" t="inlineStr">
        <is>
          <t>VÄSTERBOTTENS LÄN</t>
        </is>
      </c>
      <c r="G225" t="inlineStr">
        <is>
          <t>MALÅ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45875</v>
      </c>
      <c r="E226" s="1" t="n">
        <v>46256</v>
      </c>
      <c r="F226" t="inlineStr">
        <is>
          <t>VÄSTERBOTTENS LÄN</t>
        </is>
      </c>
      <c r="G226" t="inlineStr">
        <is>
          <t>MALÅ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45139</v>
      </c>
      <c r="E227" s="1" t="n">
        <v>46256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45193</v>
      </c>
      <c r="E228" s="1" t="n">
        <v>46256</v>
      </c>
      <c r="F228" t="inlineStr">
        <is>
          <t>VÄSTERBOTTENS LÄN</t>
        </is>
      </c>
      <c r="G228" t="inlineStr">
        <is>
          <t>MALÅ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46066-2021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44441</v>
      </c>
      <c r="E229" s="1" t="n">
        <v>46256</v>
      </c>
      <c r="F229" t="inlineStr">
        <is>
          <t>VÄSTERBOTTENS LÄN</t>
        </is>
      </c>
      <c r="G229" t="inlineStr">
        <is>
          <t>MALÅ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46256</v>
      </c>
      <c r="F230" t="inlineStr">
        <is>
          <t>VÄSTERBOTTENS LÄN</t>
        </is>
      </c>
      <c r="G230" t="inlineStr">
        <is>
          <t>MALÅ</t>
        </is>
      </c>
      <c r="H230" t="inlineStr">
        <is>
          <t>SCA</t>
        </is>
      </c>
      <c r="I230" t="n">
        <v>25.9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46256</v>
      </c>
      <c r="F231" t="inlineStr">
        <is>
          <t>VÄSTERBOTTENS LÄN</t>
        </is>
      </c>
      <c r="G231" t="inlineStr">
        <is>
          <t>MALÅ</t>
        </is>
      </c>
      <c r="I231" t="n">
        <v>41.2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45152</v>
      </c>
      <c r="E232" s="1" t="n">
        <v>46256</v>
      </c>
      <c r="F232" t="inlineStr">
        <is>
          <t>VÄSTERBOTTENS LÄN</t>
        </is>
      </c>
      <c r="G232" t="inlineStr">
        <is>
          <t>MALÅ</t>
        </is>
      </c>
      <c r="I232" t="n">
        <v>41.7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46256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46256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46256</v>
      </c>
      <c r="F235" t="inlineStr">
        <is>
          <t>VÄSTERBOTTENS LÄN</t>
        </is>
      </c>
      <c r="G235" t="inlineStr">
        <is>
          <t>MALÅ</t>
        </is>
      </c>
      <c r="H235" t="inlineStr">
        <is>
          <t>SCA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8648-2026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46066</v>
      </c>
      <c r="E236" s="1" t="n">
        <v>46256</v>
      </c>
      <c r="F236" t="inlineStr">
        <is>
          <t>VÄSTERBOTTENS LÄN</t>
        </is>
      </c>
      <c r="G236" t="inlineStr">
        <is>
          <t>MALÅ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46256</v>
      </c>
      <c r="F237" t="inlineStr">
        <is>
          <t>VÄSTERBOTTENS LÄN</t>
        </is>
      </c>
      <c r="G237" t="inlineStr">
        <is>
          <t>MALÅ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9311-2026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46256</v>
      </c>
      <c r="F238" t="inlineStr">
        <is>
          <t>VÄSTERBOTTENS LÄN</t>
        </is>
      </c>
      <c r="G238" t="inlineStr">
        <is>
          <t>MALÅ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46256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21.8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46256</v>
      </c>
      <c r="F240" t="inlineStr">
        <is>
          <t>VÄSTERBOTTENS LÄN</t>
        </is>
      </c>
      <c r="G240" t="inlineStr">
        <is>
          <t>MALÅ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46072</v>
      </c>
      <c r="E241" s="1" t="n">
        <v>46256</v>
      </c>
      <c r="F241" t="inlineStr">
        <is>
          <t>VÄSTERBOTTENS LÄN</t>
        </is>
      </c>
      <c r="G241" t="inlineStr">
        <is>
          <t>MALÅ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46223</v>
      </c>
      <c r="E242" s="1" t="n">
        <v>46256</v>
      </c>
      <c r="F242" t="inlineStr">
        <is>
          <t>VÄSTERBOTTENS LÄN</t>
        </is>
      </c>
      <c r="G242" t="inlineStr">
        <is>
          <t>MALÅ</t>
        </is>
      </c>
      <c r="H242" t="inlineStr">
        <is>
          <t>SCA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46223</v>
      </c>
      <c r="E243" s="1" t="n">
        <v>46256</v>
      </c>
      <c r="F243" t="inlineStr">
        <is>
          <t>VÄSTERBOTTENS LÄN</t>
        </is>
      </c>
      <c r="G243" t="inlineStr">
        <is>
          <t>MALÅ</t>
        </is>
      </c>
      <c r="H243" t="inlineStr">
        <is>
          <t>SCA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45541</v>
      </c>
      <c r="E244" s="1" t="n">
        <v>46256</v>
      </c>
      <c r="F244" t="inlineStr">
        <is>
          <t>VÄSTERBOTTENS LÄN</t>
        </is>
      </c>
      <c r="G244" t="inlineStr">
        <is>
          <t>MALÅ</t>
        </is>
      </c>
      <c r="I244" t="n">
        <v>13.3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45152</v>
      </c>
      <c r="E245" s="1" t="n">
        <v>46256</v>
      </c>
      <c r="F245" t="inlineStr">
        <is>
          <t>VÄSTERBOTTENS LÄN</t>
        </is>
      </c>
      <c r="G245" t="inlineStr">
        <is>
          <t>MALÅ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46256</v>
      </c>
      <c r="F246" t="inlineStr">
        <is>
          <t>VÄSTERBOTTENS LÄN</t>
        </is>
      </c>
      <c r="G246" t="inlineStr">
        <is>
          <t>MALÅ</t>
        </is>
      </c>
      <c r="I246" t="n">
        <v>63.5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46256</v>
      </c>
      <c r="F247" t="inlineStr">
        <is>
          <t>VÄSTERBOTTENS LÄN</t>
        </is>
      </c>
      <c r="G247" t="inlineStr">
        <is>
          <t>MALÅ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45201</v>
      </c>
      <c r="E248" s="1" t="n">
        <v>46256</v>
      </c>
      <c r="F248" t="inlineStr">
        <is>
          <t>VÄSTERBOTTENS LÄN</t>
        </is>
      </c>
      <c r="G248" t="inlineStr">
        <is>
          <t>MALÅ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46256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26998-2026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46185</v>
      </c>
      <c r="E250" s="1" t="n">
        <v>46256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46256</v>
      </c>
      <c r="F251" t="inlineStr">
        <is>
          <t>VÄSTERBOTTENS LÄN</t>
        </is>
      </c>
      <c r="G251" t="inlineStr">
        <is>
          <t>MALÅ</t>
        </is>
      </c>
      <c r="I251" t="n">
        <v>30.4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46256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23.4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54437-2023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45233</v>
      </c>
      <c r="E253" s="1" t="n">
        <v>46256</v>
      </c>
      <c r="F253" t="inlineStr">
        <is>
          <t>VÄSTERBOTTENS LÄN</t>
        </is>
      </c>
      <c r="G253" t="inlineStr">
        <is>
          <t>MALÅ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46256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46189</v>
      </c>
      <c r="E255" s="1" t="n">
        <v>46256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13773-2026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46097</v>
      </c>
      <c r="E256" s="1" t="n">
        <v>46256</v>
      </c>
      <c r="F256" t="inlineStr">
        <is>
          <t>VÄSTERBOTTENS LÄN</t>
        </is>
      </c>
      <c r="G256" t="inlineStr">
        <is>
          <t>MALÅ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46097</v>
      </c>
      <c r="E257" s="1" t="n">
        <v>46256</v>
      </c>
      <c r="F257" t="inlineStr">
        <is>
          <t>VÄSTERBOTTENS LÄN</t>
        </is>
      </c>
      <c r="G257" t="inlineStr">
        <is>
          <t>MALÅ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46189</v>
      </c>
      <c r="E258" s="1" t="n">
        <v>46256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46232</v>
      </c>
      <c r="E259" s="1" t="n">
        <v>46256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46189</v>
      </c>
      <c r="E260" s="1" t="n">
        <v>46256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10.1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46189</v>
      </c>
      <c r="E261" s="1" t="n">
        <v>46256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46256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45642</v>
      </c>
      <c r="E263" s="1" t="n">
        <v>46256</v>
      </c>
      <c r="F263" t="inlineStr">
        <is>
          <t>VÄSTERBOTTENS LÄN</t>
        </is>
      </c>
      <c r="G263" t="inlineStr">
        <is>
          <t>MALÅ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15286-2026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46256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45520</v>
      </c>
      <c r="E265" s="1" t="n">
        <v>46256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55507-2024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46256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12.5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46256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46256</v>
      </c>
      <c r="F268" t="inlineStr">
        <is>
          <t>VÄSTERBOTTENS LÄN</t>
        </is>
      </c>
      <c r="G268" t="inlineStr">
        <is>
          <t>MALÅ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29024-2026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46256</v>
      </c>
      <c r="F269" t="inlineStr">
        <is>
          <t>VÄSTERBOTTENS LÄN</t>
        </is>
      </c>
      <c r="G269" t="inlineStr">
        <is>
          <t>MALÅ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46256</v>
      </c>
      <c r="F270" t="inlineStr">
        <is>
          <t>VÄSTERBOTTENS LÄN</t>
        </is>
      </c>
      <c r="G270" t="inlineStr">
        <is>
          <t>MALÅ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59866-2021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44491</v>
      </c>
      <c r="E271" s="1" t="n">
        <v>46256</v>
      </c>
      <c r="F271" t="inlineStr">
        <is>
          <t>VÄSTERBOTTENS LÄN</t>
        </is>
      </c>
      <c r="G271" t="inlineStr">
        <is>
          <t>MALÅ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45601</v>
      </c>
      <c r="E272" s="1" t="n">
        <v>46256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29025-2026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46196</v>
      </c>
      <c r="E273" s="1" t="n">
        <v>46256</v>
      </c>
      <c r="F273" t="inlineStr">
        <is>
          <t>VÄSTERBOTTENS LÄN</t>
        </is>
      </c>
      <c r="G273" t="inlineStr">
        <is>
          <t>MALÅ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46256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19.7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46256</v>
      </c>
      <c r="F275" t="inlineStr">
        <is>
          <t>VÄSTERBOTTENS LÄN</t>
        </is>
      </c>
      <c r="G275" t="inlineStr">
        <is>
          <t>MALÅ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46198</v>
      </c>
      <c r="E276" s="1" t="n">
        <v>46256</v>
      </c>
      <c r="F276" t="inlineStr">
        <is>
          <t>VÄSTERBOTTENS LÄN</t>
        </is>
      </c>
      <c r="G276" t="inlineStr">
        <is>
          <t>MALÅ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45520</v>
      </c>
      <c r="E277" s="1" t="n">
        <v>46256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51573-2023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46256</v>
      </c>
      <c r="F278" t="inlineStr">
        <is>
          <t>VÄSTERBOTTENS LÄN</t>
        </is>
      </c>
      <c r="G278" t="inlineStr">
        <is>
          <t>MALÅ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46256</v>
      </c>
      <c r="F279" t="inlineStr">
        <is>
          <t>VÄSTERBOTTENS LÄN</t>
        </is>
      </c>
      <c r="G279" t="inlineStr">
        <is>
          <t>MALÅ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19286-2026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46133</v>
      </c>
      <c r="E280" s="1" t="n">
        <v>46256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55.9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19290-2026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46256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46256</v>
      </c>
      <c r="F282" t="inlineStr">
        <is>
          <t>VÄSTERBOTTENS LÄN</t>
        </is>
      </c>
      <c r="G282" t="inlineStr">
        <is>
          <t>MALÅ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46256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44964</v>
      </c>
      <c r="E284" s="1" t="n">
        <v>46256</v>
      </c>
      <c r="F284" t="inlineStr">
        <is>
          <t>VÄSTERBOTTENS LÄN</t>
        </is>
      </c>
      <c r="G284" t="inlineStr">
        <is>
          <t>MALÅ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45223</v>
      </c>
      <c r="E285" s="1" t="n">
        <v>46256</v>
      </c>
      <c r="F285" t="inlineStr">
        <is>
          <t>VÄSTERBOTTENS LÄN</t>
        </is>
      </c>
      <c r="G285" t="inlineStr">
        <is>
          <t>MALÅ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45726</v>
      </c>
      <c r="E286" s="1" t="n">
        <v>46256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37.2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45170</v>
      </c>
      <c r="E287" s="1" t="n">
        <v>46256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26853-2026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46185</v>
      </c>
      <c r="E288" s="1" t="n">
        <v>46256</v>
      </c>
      <c r="F288" t="inlineStr">
        <is>
          <t>VÄSTERBOTTENS LÄN</t>
        </is>
      </c>
      <c r="G288" t="inlineStr">
        <is>
          <t>MALÅ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46246</v>
      </c>
      <c r="E289" s="1" t="n">
        <v>46256</v>
      </c>
      <c r="F289" t="inlineStr">
        <is>
          <t>VÄSTERBOTTENS LÄN</t>
        </is>
      </c>
      <c r="G289" t="inlineStr">
        <is>
          <t>MALÅ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46246</v>
      </c>
      <c r="E290" s="1" t="n">
        <v>46256</v>
      </c>
      <c r="F290" t="inlineStr">
        <is>
          <t>VÄSTERBOTTENS LÄN</t>
        </is>
      </c>
      <c r="G290" t="inlineStr">
        <is>
          <t>MALÅ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45694</v>
      </c>
      <c r="E291" s="1" t="n">
        <v>46256</v>
      </c>
      <c r="F291" t="inlineStr">
        <is>
          <t>VÄSTERBOTTENS LÄN</t>
        </is>
      </c>
      <c r="G291" t="inlineStr">
        <is>
          <t>MALÅ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45369</v>
      </c>
      <c r="E292" s="1" t="n">
        <v>46256</v>
      </c>
      <c r="F292" t="inlineStr">
        <is>
          <t>VÄSTERBOTTENS LÄN</t>
        </is>
      </c>
      <c r="G292" t="inlineStr">
        <is>
          <t>MALÅ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46256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46256</v>
      </c>
      <c r="F294" t="inlineStr">
        <is>
          <t>VÄSTERBOTTENS LÄN</t>
        </is>
      </c>
      <c r="G294" t="inlineStr">
        <is>
          <t>MALÅ</t>
        </is>
      </c>
      <c r="I294" t="n">
        <v>17.5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46256</v>
      </c>
      <c r="F295" t="inlineStr">
        <is>
          <t>VÄSTERBOTTENS LÄN</t>
        </is>
      </c>
      <c r="G295" t="inlineStr">
        <is>
          <t>MALÅ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45176</v>
      </c>
      <c r="E296" s="1" t="n">
        <v>46256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46256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46256</v>
      </c>
      <c r="F298" t="inlineStr">
        <is>
          <t>VÄSTERBOTTENS LÄN</t>
        </is>
      </c>
      <c r="G298" t="inlineStr">
        <is>
          <t>MALÅ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45171</v>
      </c>
      <c r="E299" s="1" t="n">
        <v>46256</v>
      </c>
      <c r="F299" t="inlineStr">
        <is>
          <t>VÄSTERBOTTENS LÄN</t>
        </is>
      </c>
      <c r="G299" t="inlineStr">
        <is>
          <t>MALÅ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33764-2026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46251</v>
      </c>
      <c r="E300" s="1" t="n">
        <v>46256</v>
      </c>
      <c r="F300" t="inlineStr">
        <is>
          <t>VÄSTERBOTTENS LÄN</t>
        </is>
      </c>
      <c r="G300" t="inlineStr">
        <is>
          <t>MALÅ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46256</v>
      </c>
      <c r="F301" t="inlineStr">
        <is>
          <t>VÄSTERBOTTENS LÄN</t>
        </is>
      </c>
      <c r="G301" t="inlineStr">
        <is>
          <t>MALÅ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HYPERLINK("https://klasma.github.io/Logging_2418/knärot/A 41353-2023 karta knärot.png", "A 41353-2023")</f>
        <v/>
      </c>
      <c r="AA301">
        <f>HYPERLINK("https://klasma.github.io/Logging_2418/klagomål/A 41353-2023 FSC-klagomål.docx", "A 41353-2023")</f>
        <v/>
      </c>
      <c r="AB301">
        <f>HYPERLINK("https://klasma.github.io/Logging_2418/klagomålsmail/A 41353-2023 FSC-klagomål mail.docx", "A 41353-2023")</f>
        <v/>
      </c>
      <c r="AC301">
        <f>HYPERLINK("https://klasma.github.io/Logging_2418/tillsyn/A 41353-2023 tillsynsbegäran.docx", "A 41353-2023")</f>
        <v/>
      </c>
      <c r="AD301">
        <f>HYPERLINK("https://klasma.github.io/Logging_2418/tillsynsmail/A 41353-2023 tillsynsbegäran mail.docx", "A 41353-2023")</f>
        <v/>
      </c>
    </row>
    <row r="302" ht="15" customHeight="1">
      <c r="A302" t="inlineStr">
        <is>
          <t>A 32769-2024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45516</v>
      </c>
      <c r="E302" s="1" t="n">
        <v>46256</v>
      </c>
      <c r="F302" t="inlineStr">
        <is>
          <t>VÄSTERBOTTENS LÄN</t>
        </is>
      </c>
      <c r="G302" t="inlineStr">
        <is>
          <t>MALÅ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45209</v>
      </c>
      <c r="E303" s="1" t="n">
        <v>46256</v>
      </c>
      <c r="F303" t="inlineStr">
        <is>
          <t>VÄSTERBOTTENS LÄN</t>
        </is>
      </c>
      <c r="G303" t="inlineStr">
        <is>
          <t>MALÅ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46253</v>
      </c>
      <c r="E304" s="1" t="n">
        <v>46256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8.800000000000001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46256</v>
      </c>
      <c r="F305" t="inlineStr">
        <is>
          <t>VÄSTERBOTTENS LÄN</t>
        </is>
      </c>
      <c r="G305" t="inlineStr">
        <is>
          <t>MALÅ</t>
        </is>
      </c>
      <c r="H305" t="inlineStr">
        <is>
          <t>SCA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30502-2026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46210</v>
      </c>
      <c r="E306" s="1" t="n">
        <v>46256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46253</v>
      </c>
      <c r="E307" s="1" t="n">
        <v>46256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44802</v>
      </c>
      <c r="E308" s="1" t="n">
        <v>46256</v>
      </c>
      <c r="F308" t="inlineStr">
        <is>
          <t>VÄSTERBOTTENS LÄN</t>
        </is>
      </c>
      <c r="G308" t="inlineStr">
        <is>
          <t>MALÅ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39663-2023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46256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30.8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46256</v>
      </c>
      <c r="F310" t="inlineStr">
        <is>
          <t>VÄSTERBOTTENS LÄN</t>
        </is>
      </c>
      <c r="G310" t="inlineStr">
        <is>
          <t>MALÅ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49434-2023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45211</v>
      </c>
      <c r="E311" s="1" t="n">
        <v>46256</v>
      </c>
      <c r="F311" t="inlineStr">
        <is>
          <t>VÄSTERBOTTENS LÄN</t>
        </is>
      </c>
      <c r="G311" t="inlineStr">
        <is>
          <t>MALÅ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46256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46253</v>
      </c>
      <c r="E313" s="1" t="n">
        <v>46256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46256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46256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46256</v>
      </c>
      <c r="F316" t="inlineStr">
        <is>
          <t>VÄSTERBOTTENS LÄN</t>
        </is>
      </c>
      <c r="G316" t="inlineStr">
        <is>
          <t>MALÅ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46256</v>
      </c>
      <c r="F317" t="inlineStr">
        <is>
          <t>VÄSTERBOTTENS LÄN</t>
        </is>
      </c>
      <c r="G317" t="inlineStr">
        <is>
          <t>MALÅ</t>
        </is>
      </c>
      <c r="I317" t="n">
        <v>27.9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32767-2024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45516</v>
      </c>
      <c r="E318" s="1" t="n">
        <v>46256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14280-2024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46256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46256</v>
      </c>
      <c r="F320" t="inlineStr">
        <is>
          <t>VÄSTERBOTTENS LÄN</t>
        </is>
      </c>
      <c r="G320" t="inlineStr">
        <is>
          <t>MALÅ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46256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18.7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41126-2023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45173</v>
      </c>
      <c r="E322" s="1" t="n">
        <v>46256</v>
      </c>
      <c r="F322" t="inlineStr">
        <is>
          <t>VÄSTERBOTTENS LÄN</t>
        </is>
      </c>
      <c r="G322" t="inlineStr">
        <is>
          <t>MALÅ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55671-2023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45238</v>
      </c>
      <c r="E323" s="1" t="n">
        <v>46256</v>
      </c>
      <c r="F323" t="inlineStr">
        <is>
          <t>VÄSTERBOTTENS LÄN</t>
        </is>
      </c>
      <c r="G323" t="inlineStr">
        <is>
          <t>MALÅ</t>
        </is>
      </c>
      <c r="H323" t="inlineStr">
        <is>
          <t>SCA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22308-2026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46154</v>
      </c>
      <c r="E324" s="1" t="n">
        <v>46256</v>
      </c>
      <c r="F324" t="inlineStr">
        <is>
          <t>VÄSTERBOTTENS LÄN</t>
        </is>
      </c>
      <c r="G324" t="inlineStr">
        <is>
          <t>MALÅ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45152</v>
      </c>
      <c r="E325" s="1" t="n">
        <v>46256</v>
      </c>
      <c r="F325" t="inlineStr">
        <is>
          <t>VÄSTERBOTTENS LÄN</t>
        </is>
      </c>
      <c r="G325" t="inlineStr">
        <is>
          <t>MALÅ</t>
        </is>
      </c>
      <c r="I325" t="n">
        <v>13.3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36742-2023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45153</v>
      </c>
      <c r="E326" s="1" t="n">
        <v>46256</v>
      </c>
      <c r="F326" t="inlineStr">
        <is>
          <t>VÄSTERBOTTENS LÄN</t>
        </is>
      </c>
      <c r="G326" t="inlineStr">
        <is>
          <t>MALÅ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45153</v>
      </c>
      <c r="E327" s="1" t="n">
        <v>46256</v>
      </c>
      <c r="F327" t="inlineStr">
        <is>
          <t>VÄSTERBOTTENS LÄN</t>
        </is>
      </c>
      <c r="G327" t="inlineStr">
        <is>
          <t>MALÅ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45719</v>
      </c>
      <c r="E328" s="1" t="n">
        <v>46256</v>
      </c>
      <c r="F328" t="inlineStr">
        <is>
          <t>VÄSTERBOTTENS LÄN</t>
        </is>
      </c>
      <c r="G328" t="inlineStr">
        <is>
          <t>MALÅ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29450-2024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45483</v>
      </c>
      <c r="E329" s="1" t="n">
        <v>46256</v>
      </c>
      <c r="F329" t="inlineStr">
        <is>
          <t>VÄSTERBOTTENS LÄN</t>
        </is>
      </c>
      <c r="G329" t="inlineStr">
        <is>
          <t>MALÅ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45636</v>
      </c>
      <c r="E330" s="1" t="n">
        <v>46256</v>
      </c>
      <c r="F330" t="inlineStr">
        <is>
          <t>VÄSTERBOTTENS LÄN</t>
        </is>
      </c>
      <c r="G330" t="inlineStr">
        <is>
          <t>MALÅ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46256</v>
      </c>
      <c r="F331" t="inlineStr">
        <is>
          <t>VÄSTERBOTTENS LÄN</t>
        </is>
      </c>
      <c r="G331" t="inlineStr">
        <is>
          <t>MALÅ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45454</v>
      </c>
      <c r="E332" s="1" t="n">
        <v>46256</v>
      </c>
      <c r="F332" t="inlineStr">
        <is>
          <t>VÄSTERBOTTENS LÄN</t>
        </is>
      </c>
      <c r="G332" t="inlineStr">
        <is>
          <t>MALÅ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67383-2021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44523</v>
      </c>
      <c r="E333" s="1" t="n">
        <v>46256</v>
      </c>
      <c r="F333" t="inlineStr">
        <is>
          <t>VÄSTERBOTTENS LÄN</t>
        </is>
      </c>
      <c r="G333" t="inlineStr">
        <is>
          <t>MALÅ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57499-2022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44889</v>
      </c>
      <c r="E334" s="1" t="n">
        <v>46256</v>
      </c>
      <c r="F334" t="inlineStr">
        <is>
          <t>VÄSTERBOTTENS LÄN</t>
        </is>
      </c>
      <c r="G334" t="inlineStr">
        <is>
          <t>MALÅ</t>
        </is>
      </c>
      <c r="I334" t="n">
        <v>10.2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45789-2023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45189</v>
      </c>
      <c r="E335" s="1" t="n">
        <v>46256</v>
      </c>
      <c r="F335" t="inlineStr">
        <is>
          <t>VÄSTERBOTTENS LÄN</t>
        </is>
      </c>
      <c r="G335" t="inlineStr">
        <is>
          <t>MALÅ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51387-2023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45219</v>
      </c>
      <c r="E336" s="1" t="n">
        <v>46256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46989-2023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46256</v>
      </c>
      <c r="F337" t="inlineStr">
        <is>
          <t>VÄSTERBOTTENS LÄN</t>
        </is>
      </c>
      <c r="G337" t="inlineStr">
        <is>
          <t>MALÅ</t>
        </is>
      </c>
      <c r="I337" t="n">
        <v>22.9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59801-2021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44491</v>
      </c>
      <c r="E338" s="1" t="n">
        <v>46256</v>
      </c>
      <c r="F338" t="inlineStr">
        <is>
          <t>VÄSTERBOTTENS LÄN</t>
        </is>
      </c>
      <c r="G338" t="inlineStr">
        <is>
          <t>MALÅ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32979-2024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45516</v>
      </c>
      <c r="E339" s="1" t="n">
        <v>46256</v>
      </c>
      <c r="F339" t="inlineStr">
        <is>
          <t>VÄSTERBOTTENS LÄN</t>
        </is>
      </c>
      <c r="G339" t="inlineStr">
        <is>
          <t>MALÅ</t>
        </is>
      </c>
      <c r="I339" t="n">
        <v>15.5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36676-2023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45152</v>
      </c>
      <c r="E340" s="1" t="n">
        <v>46256</v>
      </c>
      <c r="F340" t="inlineStr">
        <is>
          <t>VÄSTERBOTTENS LÄN</t>
        </is>
      </c>
      <c r="G340" t="inlineStr">
        <is>
          <t>MALÅ</t>
        </is>
      </c>
      <c r="I340" t="n">
        <v>16.6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24924-2025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45799</v>
      </c>
      <c r="E341" s="1" t="n">
        <v>46256</v>
      </c>
      <c r="F341" t="inlineStr">
        <is>
          <t>VÄSTERBOTTENS LÄN</t>
        </is>
      </c>
      <c r="G341" t="inlineStr">
        <is>
          <t>MALÅ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47797-2021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44448</v>
      </c>
      <c r="E342" s="1" t="n">
        <v>46256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46256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2026-08-22T01:51:36Z</dcterms:created>
  <dcterms:modified xmlns:dcterms="http://purl.org/dc/terms/" xmlns:xsi="http://www.w3.org/2001/XMLSchema-instance" xsi:type="dcterms:W3CDTF">2026-08-22T01:51:37Z</dcterms:modified>
</cp:coreProperties>
</file>