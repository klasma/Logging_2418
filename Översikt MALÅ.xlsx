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6025-2025</t>
        </is>
      </c>
      <c r="B23" s="1" t="n">
        <v>45695</v>
      </c>
      <c r="C23" s="1" t="n">
        <v>45701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6025-2025 artfynd.xlsx", "A 6025-2025")</f>
        <v/>
      </c>
      <c r="T23">
        <f>HYPERLINK("https://klasma.github.io/Logging_2418/kartor/A 6025-2025 karta.png", "A 6025-2025")</f>
        <v/>
      </c>
      <c r="V23">
        <f>HYPERLINK("https://klasma.github.io/Logging_2418/klagomål/A 6025-2025 FSC-klagomål.docx", "A 6025-2025")</f>
        <v/>
      </c>
      <c r="W23">
        <f>HYPERLINK("https://klasma.github.io/Logging_2418/klagomålsmail/A 6025-2025 FSC-klagomål mail.docx", "A 6025-2025")</f>
        <v/>
      </c>
      <c r="X23">
        <f>HYPERLINK("https://klasma.github.io/Logging_2418/tillsyn/A 6025-2025 tillsynsbegäran.docx", "A 6025-2025")</f>
        <v/>
      </c>
      <c r="Y23">
        <f>HYPERLINK("https://klasma.github.io/Logging_2418/tillsynsmail/A 6025-2025 tillsynsbegäran mail.docx", "A 6025-2025")</f>
        <v/>
      </c>
    </row>
    <row r="24" ht="15" customHeight="1">
      <c r="A24" t="inlineStr">
        <is>
          <t>A 6000-2025</t>
        </is>
      </c>
      <c r="B24" s="1" t="n">
        <v>45695</v>
      </c>
      <c r="C24" s="1" t="n">
        <v>45701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6000-2025 artfynd.xlsx", "A 6000-2025")</f>
        <v/>
      </c>
      <c r="T24">
        <f>HYPERLINK("https://klasma.github.io/Logging_2418/kartor/A 6000-2025 karta.png", "A 6000-2025")</f>
        <v/>
      </c>
      <c r="V24">
        <f>HYPERLINK("https://klasma.github.io/Logging_2418/klagomål/A 6000-2025 FSC-klagomål.docx", "A 6000-2025")</f>
        <v/>
      </c>
      <c r="W24">
        <f>HYPERLINK("https://klasma.github.io/Logging_2418/klagomålsmail/A 6000-2025 FSC-klagomål mail.docx", "A 6000-2025")</f>
        <v/>
      </c>
      <c r="X24">
        <f>HYPERLINK("https://klasma.github.io/Logging_2418/tillsyn/A 6000-2025 tillsynsbegäran.docx", "A 6000-2025")</f>
        <v/>
      </c>
      <c r="Y24">
        <f>HYPERLINK("https://klasma.github.io/Logging_2418/tillsynsmail/A 6000-2025 tillsynsbegäran mail.docx", "A 6000-2025")</f>
        <v/>
      </c>
    </row>
    <row r="25" ht="15" customHeight="1">
      <c r="A25" t="inlineStr">
        <is>
          <t>A 6002-2025</t>
        </is>
      </c>
      <c r="B25" s="1" t="n">
        <v>45695</v>
      </c>
      <c r="C25" s="1" t="n">
        <v>45701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6002-2025 artfynd.xlsx", "A 6002-2025")</f>
        <v/>
      </c>
      <c r="T25">
        <f>HYPERLINK("https://klasma.github.io/Logging_2418/kartor/A 6002-2025 karta.png", "A 6002-2025")</f>
        <v/>
      </c>
      <c r="V25">
        <f>HYPERLINK("https://klasma.github.io/Logging_2418/klagomål/A 6002-2025 FSC-klagomål.docx", "A 6002-2025")</f>
        <v/>
      </c>
      <c r="W25">
        <f>HYPERLINK("https://klasma.github.io/Logging_2418/klagomålsmail/A 6002-2025 FSC-klagomål mail.docx", "A 6002-2025")</f>
        <v/>
      </c>
      <c r="X25">
        <f>HYPERLINK("https://klasma.github.io/Logging_2418/tillsyn/A 6002-2025 tillsynsbegäran.docx", "A 6002-2025")</f>
        <v/>
      </c>
      <c r="Y25">
        <f>HYPERLINK("https://klasma.github.io/Logging_2418/tillsynsmail/A 6002-2025 tillsynsbegäran mail.docx", "A 6002-2025")</f>
        <v/>
      </c>
    </row>
    <row r="26" ht="15" customHeight="1">
      <c r="A26" t="inlineStr">
        <is>
          <t>A 6014-2025</t>
        </is>
      </c>
      <c r="B26" s="1" t="n">
        <v>45695</v>
      </c>
      <c r="C26" s="1" t="n">
        <v>45701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6014-2025 artfynd.xlsx", "A 6014-2025")</f>
        <v/>
      </c>
      <c r="T26">
        <f>HYPERLINK("https://klasma.github.io/Logging_2418/kartor/A 6014-2025 karta.png", "A 6014-2025")</f>
        <v/>
      </c>
      <c r="V26">
        <f>HYPERLINK("https://klasma.github.io/Logging_2418/klagomål/A 6014-2025 FSC-klagomål.docx", "A 6014-2025")</f>
        <v/>
      </c>
      <c r="W26">
        <f>HYPERLINK("https://klasma.github.io/Logging_2418/klagomålsmail/A 6014-2025 FSC-klagomål mail.docx", "A 6014-2025")</f>
        <v/>
      </c>
      <c r="X26">
        <f>HYPERLINK("https://klasma.github.io/Logging_2418/tillsyn/A 6014-2025 tillsynsbegäran.docx", "A 6014-2025")</f>
        <v/>
      </c>
      <c r="Y26">
        <f>HYPERLINK("https://klasma.github.io/Logging_2418/tillsynsmail/A 6014-2025 tillsynsbegäran mail.docx", "A 6014-2025")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45701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45701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45701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45701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45701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45701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45701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45701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45701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45701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45701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45701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45701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45701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45701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45701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45701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45701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45701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45701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45701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45701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45701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45701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45701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45701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45701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45701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45701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45701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45701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45701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45701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45701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45701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45701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45701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45701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45701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45701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45701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45701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45701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45701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45701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45701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45701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45701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45701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45701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45701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45701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45701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45701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45701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45701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45701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45701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45701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45701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45701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45701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45701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45701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45701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45701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45701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45701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45701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45701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45701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45701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45701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45701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45701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45701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45701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45701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45701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45701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45701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45701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45701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45701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45701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45701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45701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45701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45701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45701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45701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45701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45701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45701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45701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45701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45701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45701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45701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45701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45701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45701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45701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45701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45701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45701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45701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45701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45701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45701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45701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45701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45701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45701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45701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45701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45701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45701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45701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45701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45701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45701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45701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45701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45701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45701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45701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45701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45701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45701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45701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45701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45701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45701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45701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45701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45701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45701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45701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45701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45701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45701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45701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45701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45701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45701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45701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45701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45701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45701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45701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45701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45701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45701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45701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45701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45701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45701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45701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45701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45701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45701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45701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45701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45701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45701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45701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45701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45701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45701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45701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45701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45701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45701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45701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45701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45701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45701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45701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45701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45701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45701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45701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45701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45701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45701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45701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45701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45701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45701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45701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45701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45701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45701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45701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45701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45701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45701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45701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45701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45701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45701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45701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45701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45701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45701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45701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45701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45701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45701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45701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45701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45701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45701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45701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45701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45701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45701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45701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45701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45701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45701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45701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45701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45701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45701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45701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45701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45701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45701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45701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45701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45701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45701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45701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45701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45701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45701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45701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45701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45701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45701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45701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45701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45701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45701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45701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45701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45701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45701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45701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45701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45701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45701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45701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45701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45701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45701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45701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45701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45701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45701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45701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45701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45701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45701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45701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45701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45701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45701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45701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45701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45701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45701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45701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45701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45701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45701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45701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45701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45701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45701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45701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45701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45701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45701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45701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45701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45701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45701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45701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45701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45701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45701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45701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45701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45701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45701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45701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45701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45701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45701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45701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45701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45701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45701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45701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45701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45701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45701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45701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45701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45701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45701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45701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45701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45701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45701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45701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45701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45701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45701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45701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45701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45701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45701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45701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45701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45701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45701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45701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45701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45701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45701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45701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45701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45701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45701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45701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45701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45701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45701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45701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45701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45701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45701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45701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45701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45701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45701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45701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45701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45701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45701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45701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45701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45701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45701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45701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45701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45701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45701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45701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45701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45701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45701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45701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45701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45701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45701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45701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45701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45701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45701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45701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45701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45701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45701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45701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45701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45701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45701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45701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45701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45701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45701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45701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45701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45701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45701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45701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45701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45701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45701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45701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45701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45701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45701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45701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45701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45701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45701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45701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45701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45701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45701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45701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45701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45701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45701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45701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45701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45701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45701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45701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45701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45701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45701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45701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45701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45701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45701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45701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45701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45701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45701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45701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45701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45701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45701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45701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45701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45701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45701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45701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45701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45701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45701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45701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45701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45701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45701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45701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45701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45701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45701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45701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45701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45701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45701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45701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45701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45701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45701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45701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45701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45701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45701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45701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45701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45701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45701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45701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45701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45701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45701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45701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45701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45701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45701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45701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45701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45701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45701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45701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45701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45701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45701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45701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45701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45701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45701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45701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45701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45701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45701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45701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45701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45701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45701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45701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45701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45701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45701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45701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45701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45701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45701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45701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45701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45701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45701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45701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45701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45701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45701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45701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45701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45701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45701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45701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45701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45701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45701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45701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45701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45701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45701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45701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45701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45701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45701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45701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45701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45701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45701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45701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45701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45701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45701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45701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45701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45701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45701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45701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45701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45701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45701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45701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45701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45701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45701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45701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45701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45701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45701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45701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45701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45701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45701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45701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45701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45701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45701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45701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45701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45701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45701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45701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45701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45701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45701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45701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45701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45701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45701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45701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45701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45701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45701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45701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45701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45701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45701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45701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45701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45701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45701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45701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45701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45701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45701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45701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45701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45701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45701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45701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45701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45701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45701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45701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45701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45701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45701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45701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45701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45701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45701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45701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45701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45701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45701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45701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45701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45701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45701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45701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45701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45701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45701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45701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45701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45701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45701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45701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45701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45701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45701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45701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45701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45701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45701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45701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45701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45701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45701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45701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45701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45701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45701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45701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45701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45701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45701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45701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45701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45701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45701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45701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45701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45701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45701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45701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45701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45701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45701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45701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45701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45701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45701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45701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45701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45701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45701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45701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45701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45701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45701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45701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45701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45701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45701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45701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45701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45701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45701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45701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45701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45701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45701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45701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45701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45701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45701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45701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45701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45701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45701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45701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45701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45701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45701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45701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45701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45701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45701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45701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45701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45701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45701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45701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45701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45701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45701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45701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45701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45701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45701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45701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45701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45701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45701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45701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45701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45701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45701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45701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45701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45701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45701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45701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45701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45701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45701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45701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45701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45701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45701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45701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45701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45701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45701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45701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45701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45701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45701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45701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45701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45701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45701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45701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45701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45701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45701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45701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45701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45701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45701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45701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45701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45701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45701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45701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45701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45701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45701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45701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45701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45701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45701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45701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45701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45701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45701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45701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45701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45701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45701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45701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45701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45701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45701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45701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45701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45701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45701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45701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45701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45701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45701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45701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45701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45701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45701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45701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45701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45701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45701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45701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45701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45701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45701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45701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45701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45701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45701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45701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45701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45701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45701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45701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45701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45701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45701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45701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45701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45701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45701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45701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45701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45701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45701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45701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45701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45701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45701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45701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45701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45701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45701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45701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45701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45701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45701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45701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45701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45701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45701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45701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45701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45701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45701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45701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45701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45701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45701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45701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45701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45701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45701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45701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45701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45701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45701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45701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45701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45701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45701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45701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45701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45701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45701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45701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45701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45701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45701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45701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45701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45701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45701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45701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45701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45701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45701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45701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45701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45701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45701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45701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45701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45701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45701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45701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45701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45701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45701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45701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45701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45701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45701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45701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45701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45701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45701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45701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45701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45701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45701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45701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45701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45701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45701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45701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45701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45701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45701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45701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45701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45701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45701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45701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45701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45701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45701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45701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45701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45701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45701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45701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45701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45701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45701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45701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45701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45701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45701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45701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45701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45701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45701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45701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45701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45701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45701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45701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45701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45701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45701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45701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45701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45701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45701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45701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45701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45701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45701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45701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45701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45701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45701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45701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45701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45701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45701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45701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45701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45701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45701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45701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45701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45701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45701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45701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45701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45701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45701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45701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45701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45701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45701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45701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45701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45701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45701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45701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45701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45701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45701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45701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45701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45701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45701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45701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45701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45701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45701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45701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45701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45701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45701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45701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45701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45701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45701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45701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45701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45701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45701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45701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45701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45701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45701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45701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45701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45701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45701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45701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45701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45701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45701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45701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45701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45701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45701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45701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45701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45701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4926-2025</t>
        </is>
      </c>
      <c r="B1024" s="1" t="n">
        <v>45688</v>
      </c>
      <c r="C1024" s="1" t="n">
        <v>45701</v>
      </c>
      <c r="D1024" t="inlineStr">
        <is>
          <t>VÄSTERBOTTENS LÄN</t>
        </is>
      </c>
      <c r="E1024" t="inlineStr">
        <is>
          <t>MALÅ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4927-2025</t>
        </is>
      </c>
      <c r="B1025" s="1" t="n">
        <v>45688</v>
      </c>
      <c r="C1025" s="1" t="n">
        <v>45701</v>
      </c>
      <c r="D1025" t="inlineStr">
        <is>
          <t>VÄSTERBOTTENS LÄN</t>
        </is>
      </c>
      <c r="E1025" t="inlineStr">
        <is>
          <t>MALÅ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4925-2025</t>
        </is>
      </c>
      <c r="B1026" s="1" t="n">
        <v>45688</v>
      </c>
      <c r="C1026" s="1" t="n">
        <v>45701</v>
      </c>
      <c r="D1026" t="inlineStr">
        <is>
          <t>VÄSTERBOTTENS LÄN</t>
        </is>
      </c>
      <c r="E1026" t="inlineStr">
        <is>
          <t>MALÅ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45701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45701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5894-2025</t>
        </is>
      </c>
      <c r="B1029" s="1" t="n">
        <v>45695</v>
      </c>
      <c r="C1029" s="1" t="n">
        <v>45701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6671-2025</t>
        </is>
      </c>
      <c r="B1030" s="1" t="n">
        <v>45700</v>
      </c>
      <c r="C1030" s="1" t="n">
        <v>45701</v>
      </c>
      <c r="D1030" t="inlineStr">
        <is>
          <t>VÄSTERBOTTENS LÄN</t>
        </is>
      </c>
      <c r="E1030" t="inlineStr">
        <is>
          <t>MALÅ</t>
        </is>
      </c>
      <c r="F1030" t="inlineStr">
        <is>
          <t>SCA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6655-2025</t>
        </is>
      </c>
      <c r="B1031" s="1" t="n">
        <v>45700</v>
      </c>
      <c r="C1031" s="1" t="n">
        <v>45701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2025-02-13T16:29:28Z</dcterms:created>
  <dcterms:modified xmlns:dcterms="http://purl.org/dc/terms/" xmlns:xsi="http://www.w3.org/2001/XMLSchema-instance" xsi:type="dcterms:W3CDTF">2025-02-13T16:29:28Z</dcterms:modified>
</cp:coreProperties>
</file>