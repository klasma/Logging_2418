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46201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46201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46201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52129-2024</t>
        </is>
      </c>
      <c r="B5" s="1" t="n">
        <v>45608</v>
      </c>
      <c r="C5" s="1" t="n">
        <v>46201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Gammelgransskål</t>
        </is>
      </c>
      <c r="S5">
        <f>HYPERLINK("https://klasma.github.io/Logging_2418/artfynd/A 52129-2024 artfynd.xlsx", "A 52129-2024")</f>
        <v/>
      </c>
      <c r="T5">
        <f>HYPERLINK("https://klasma.github.io/Logging_2418/kartor/A 52129-2024 karta.png", "A 52129-2024")</f>
        <v/>
      </c>
      <c r="V5">
        <f>HYPERLINK("https://klasma.github.io/Logging_2418/klagomål/A 52129-2024 FSC-klagomål.docx", "A 52129-2024")</f>
        <v/>
      </c>
      <c r="W5">
        <f>HYPERLINK("https://klasma.github.io/Logging_2418/klagomålsmail/A 52129-2024 FSC-klagomål mail.docx", "A 52129-2024")</f>
        <v/>
      </c>
      <c r="X5">
        <f>HYPERLINK("https://klasma.github.io/Logging_2418/tillsyn/A 52129-2024 tillsynsbegäran.docx", "A 52129-2024")</f>
        <v/>
      </c>
      <c r="Y5">
        <f>HYPERLINK("https://klasma.github.io/Logging_2418/tillsynsmail/A 52129-2024 tillsynsbegäran mail.docx", "A 52129-2024")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46201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46201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49040-2025</t>
        </is>
      </c>
      <c r="B8" s="1" t="n">
        <v>45937</v>
      </c>
      <c r="C8" s="1" t="n">
        <v>46201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</v>
      </c>
      <c r="C9" s="1" t="n">
        <v>46201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s="1" t="n">
        <v>46051</v>
      </c>
      <c r="C10" s="1" t="n">
        <v>46201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46026-2022</t>
        </is>
      </c>
      <c r="B11" s="1" t="n">
        <v>44846</v>
      </c>
      <c r="C11" s="1" t="n">
        <v>46201</v>
      </c>
      <c r="D11" t="inlineStr">
        <is>
          <t>VÄSTERBOTTENS LÄN</t>
        </is>
      </c>
      <c r="E11" t="inlineStr">
        <is>
          <t>MALÅ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46201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46201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48144-2022</t>
        </is>
      </c>
      <c r="B14" s="1" t="n">
        <v>44858</v>
      </c>
      <c r="C14" s="1" t="n">
        <v>46201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48145-2022</t>
        </is>
      </c>
      <c r="B15" s="1" t="n">
        <v>44858</v>
      </c>
      <c r="C15" s="1" t="n">
        <v>46201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46201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46201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46201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42383-2023</t>
        </is>
      </c>
      <c r="B19" s="1" t="n">
        <v>45180</v>
      </c>
      <c r="C19" s="1" t="n">
        <v>46201</v>
      </c>
      <c r="D19" t="inlineStr">
        <is>
          <t>VÄSTERBOTTENS LÄN</t>
        </is>
      </c>
      <c r="E19" t="inlineStr">
        <is>
          <t>MALÅ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45549-2021</t>
        </is>
      </c>
      <c r="B20" s="1" t="n">
        <v>44440</v>
      </c>
      <c r="C20" s="1" t="n">
        <v>46201</v>
      </c>
      <c r="D20" t="inlineStr">
        <is>
          <t>VÄSTERBOTTENS LÄN</t>
        </is>
      </c>
      <c r="E20" t="inlineStr">
        <is>
          <t>MALÅ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44426-2023</t>
        </is>
      </c>
      <c r="B21" s="1" t="n">
        <v>45188</v>
      </c>
      <c r="C21" s="1" t="n">
        <v>46201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41360-2023</t>
        </is>
      </c>
      <c r="B22" s="1" t="n">
        <v>45174</v>
      </c>
      <c r="C22" s="1" t="n">
        <v>46201</v>
      </c>
      <c r="D22" t="inlineStr">
        <is>
          <t>VÄSTERBOTTENS LÄN</t>
        </is>
      </c>
      <c r="E22" t="inlineStr">
        <is>
          <t>MALÅ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41384-2023</t>
        </is>
      </c>
      <c r="B23" s="1" t="n">
        <v>45174</v>
      </c>
      <c r="C23" s="1" t="n">
        <v>46201</v>
      </c>
      <c r="D23" t="inlineStr">
        <is>
          <t>VÄSTERBOTTENS LÄN</t>
        </is>
      </c>
      <c r="E23" t="inlineStr">
        <is>
          <t>MALÅ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55672-2023</t>
        </is>
      </c>
      <c r="B24" s="1" t="n">
        <v>45238</v>
      </c>
      <c r="C24" s="1" t="n">
        <v>46201</v>
      </c>
      <c r="D24" t="inlineStr">
        <is>
          <t>VÄSTERBOTTENS LÄN</t>
        </is>
      </c>
      <c r="E24" t="inlineStr">
        <is>
          <t>MALÅ</t>
        </is>
      </c>
      <c r="F24" t="inlineStr">
        <is>
          <t>SCA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58240-2022</t>
        </is>
      </c>
      <c r="B25" s="1" t="n">
        <v>44893</v>
      </c>
      <c r="C25" s="1" t="n">
        <v>46201</v>
      </c>
      <c r="D25" t="inlineStr">
        <is>
          <t>VÄSTERBOTTENS LÄN</t>
        </is>
      </c>
      <c r="E25" t="inlineStr">
        <is>
          <t>MALÅ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46201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42988-2023</t>
        </is>
      </c>
      <c r="B27" s="1" t="n">
        <v>45182</v>
      </c>
      <c r="C27" s="1" t="n">
        <v>46201</v>
      </c>
      <c r="D27" t="inlineStr">
        <is>
          <t>VÄSTERBOTTENS LÄN</t>
        </is>
      </c>
      <c r="E27" t="inlineStr">
        <is>
          <t>MALÅ</t>
        </is>
      </c>
      <c r="G27" t="n">
        <v>10.5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42183-2023</t>
        </is>
      </c>
      <c r="B28" s="1" t="n">
        <v>45178</v>
      </c>
      <c r="C28" s="1" t="n">
        <v>46201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46201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60520-2024</t>
        </is>
      </c>
      <c r="B30" s="1" t="n">
        <v>45643</v>
      </c>
      <c r="C30" s="1" t="n">
        <v>46201</v>
      </c>
      <c r="D30" t="inlineStr">
        <is>
          <t>VÄSTERBOTTENS LÄN</t>
        </is>
      </c>
      <c r="E30" t="inlineStr">
        <is>
          <t>MALÅ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60577-2022</t>
        </is>
      </c>
      <c r="B31" s="1" t="n">
        <v>44911</v>
      </c>
      <c r="C31" s="1" t="n">
        <v>46201</v>
      </c>
      <c r="D31" t="inlineStr">
        <is>
          <t>VÄSTERBOTTENS LÄN</t>
        </is>
      </c>
      <c r="E31" t="inlineStr">
        <is>
          <t>MALÅ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45807-2023</t>
        </is>
      </c>
      <c r="B32" s="1" t="n">
        <v>45189</v>
      </c>
      <c r="C32" s="1" t="n">
        <v>46201</v>
      </c>
      <c r="D32" t="inlineStr">
        <is>
          <t>VÄSTERBOTTENS LÄN</t>
        </is>
      </c>
      <c r="E32" t="inlineStr">
        <is>
          <t>MALÅ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37462-2024</t>
        </is>
      </c>
      <c r="B33" s="1" t="n">
        <v>45540</v>
      </c>
      <c r="C33" s="1" t="n">
        <v>46201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37467-2024</t>
        </is>
      </c>
      <c r="B34" s="1" t="n">
        <v>45540</v>
      </c>
      <c r="C34" s="1" t="n">
        <v>46201</v>
      </c>
      <c r="D34" t="inlineStr">
        <is>
          <t>VÄSTERBOTTENS LÄN</t>
        </is>
      </c>
      <c r="E34" t="inlineStr">
        <is>
          <t>MALÅ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51357-2023</t>
        </is>
      </c>
      <c r="B35" s="1" t="n">
        <v>45219</v>
      </c>
      <c r="C35" s="1" t="n">
        <v>46201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37688-2024</t>
        </is>
      </c>
      <c r="B36" s="1" t="n">
        <v>45541</v>
      </c>
      <c r="C36" s="1" t="n">
        <v>46201</v>
      </c>
      <c r="D36" t="inlineStr">
        <is>
          <t>VÄSTERBOTTENS LÄN</t>
        </is>
      </c>
      <c r="E36" t="inlineStr">
        <is>
          <t>MALÅ</t>
        </is>
      </c>
      <c r="G36" t="n">
        <v>13.3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61605-2024</t>
        </is>
      </c>
      <c r="B37" s="1" t="n">
        <v>45645</v>
      </c>
      <c r="C37" s="1" t="n">
        <v>46201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53657-2023</t>
        </is>
      </c>
      <c r="B38" s="1" t="n">
        <v>45230</v>
      </c>
      <c r="C38" s="1" t="n">
        <v>46201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51383-2023</t>
        </is>
      </c>
      <c r="B39" s="1" t="n">
        <v>45219</v>
      </c>
      <c r="C39" s="1" t="n">
        <v>46201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39152-2023</t>
        </is>
      </c>
      <c r="B40" s="1" t="n">
        <v>45166</v>
      </c>
      <c r="C40" s="1" t="n">
        <v>46201</v>
      </c>
      <c r="D40" t="inlineStr">
        <is>
          <t>VÄSTERBOTTENS LÄN</t>
        </is>
      </c>
      <c r="E40" t="inlineStr">
        <is>
          <t>MALÅ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39153-2023</t>
        </is>
      </c>
      <c r="B41" s="1" t="n">
        <v>45166</v>
      </c>
      <c r="C41" s="1" t="n">
        <v>46201</v>
      </c>
      <c r="D41" t="inlineStr">
        <is>
          <t>VÄSTERBOTTENS LÄN</t>
        </is>
      </c>
      <c r="E41" t="inlineStr">
        <is>
          <t>MALÅ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39791-2023</t>
        </is>
      </c>
      <c r="B42" s="1" t="n">
        <v>45167</v>
      </c>
      <c r="C42" s="1" t="n">
        <v>46201</v>
      </c>
      <c r="D42" t="inlineStr">
        <is>
          <t>VÄSTERBOTTENS LÄN</t>
        </is>
      </c>
      <c r="E42" t="inlineStr">
        <is>
          <t>MALÅ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45744-2023</t>
        </is>
      </c>
      <c r="B43" s="1" t="n">
        <v>45193</v>
      </c>
      <c r="C43" s="1" t="n">
        <v>46201</v>
      </c>
      <c r="D43" t="inlineStr">
        <is>
          <t>VÄSTERBOTTENS LÄN</t>
        </is>
      </c>
      <c r="E43" t="inlineStr">
        <is>
          <t>MALÅ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45812-2023</t>
        </is>
      </c>
      <c r="B44" s="1" t="n">
        <v>45189</v>
      </c>
      <c r="C44" s="1" t="n">
        <v>46201</v>
      </c>
      <c r="D44" t="inlineStr">
        <is>
          <t>VÄSTERBOTTENS LÄN</t>
        </is>
      </c>
      <c r="E44" t="inlineStr">
        <is>
          <t>MALÅ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67679-2021</t>
        </is>
      </c>
      <c r="B45" s="1" t="n">
        <v>44524</v>
      </c>
      <c r="C45" s="1" t="n">
        <v>46201</v>
      </c>
      <c r="D45" t="inlineStr">
        <is>
          <t>VÄSTERBOTTENS LÄN</t>
        </is>
      </c>
      <c r="E45" t="inlineStr">
        <is>
          <t>MALÅ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60168-2024</t>
        </is>
      </c>
      <c r="B46" s="1" t="n">
        <v>45639</v>
      </c>
      <c r="C46" s="1" t="n">
        <v>46201</v>
      </c>
      <c r="D46" t="inlineStr">
        <is>
          <t>VÄSTERBOTTENS LÄN</t>
        </is>
      </c>
      <c r="E46" t="inlineStr">
        <is>
          <t>MALÅ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55066-2024</t>
        </is>
      </c>
      <c r="B47" s="1" t="n">
        <v>45621</v>
      </c>
      <c r="C47" s="1" t="n">
        <v>46201</v>
      </c>
      <c r="D47" t="inlineStr">
        <is>
          <t>VÄSTERBOTTENS LÄN</t>
        </is>
      </c>
      <c r="E47" t="inlineStr">
        <is>
          <t>MALÅ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13432-2025</t>
        </is>
      </c>
      <c r="B48" s="1" t="n">
        <v>45736</v>
      </c>
      <c r="C48" s="1" t="n">
        <v>46201</v>
      </c>
      <c r="D48" t="inlineStr">
        <is>
          <t>VÄSTERBOTTENS LÄN</t>
        </is>
      </c>
      <c r="E48" t="inlineStr">
        <is>
          <t>MALÅ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37535-2023</t>
        </is>
      </c>
      <c r="B49" s="1" t="n">
        <v>45158</v>
      </c>
      <c r="C49" s="1" t="n">
        <v>46201</v>
      </c>
      <c r="D49" t="inlineStr">
        <is>
          <t>VÄSTERBOTTENS LÄN</t>
        </is>
      </c>
      <c r="E49" t="inlineStr">
        <is>
          <t>MALÅ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56638-2024</t>
        </is>
      </c>
      <c r="B50" s="1" t="n">
        <v>45625</v>
      </c>
      <c r="C50" s="1" t="n">
        <v>46201</v>
      </c>
      <c r="D50" t="inlineStr">
        <is>
          <t>VÄSTERBOTTENS LÄN</t>
        </is>
      </c>
      <c r="E50" t="inlineStr">
        <is>
          <t>MALÅ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56662-2024</t>
        </is>
      </c>
      <c r="B51" s="1" t="n">
        <v>45625</v>
      </c>
      <c r="C51" s="1" t="n">
        <v>46201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36745-2023</t>
        </is>
      </c>
      <c r="B52" s="1" t="n">
        <v>45153</v>
      </c>
      <c r="C52" s="1" t="n">
        <v>46201</v>
      </c>
      <c r="D52" t="inlineStr">
        <is>
          <t>VÄSTERBOTTENS LÄN</t>
        </is>
      </c>
      <c r="E52" t="inlineStr">
        <is>
          <t>MALÅ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46063-2023</t>
        </is>
      </c>
      <c r="B53" s="1" t="n">
        <v>45196</v>
      </c>
      <c r="C53" s="1" t="n">
        <v>46201</v>
      </c>
      <c r="D53" t="inlineStr">
        <is>
          <t>VÄSTERBOTTENS LÄN</t>
        </is>
      </c>
      <c r="E53" t="inlineStr">
        <is>
          <t>MALÅ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37326-2023</t>
        </is>
      </c>
      <c r="B54" s="1" t="n">
        <v>45154</v>
      </c>
      <c r="C54" s="1" t="n">
        <v>46201</v>
      </c>
      <c r="D54" t="inlineStr">
        <is>
          <t>VÄSTERBOTTENS LÄN</t>
        </is>
      </c>
      <c r="E54" t="inlineStr">
        <is>
          <t>MALÅ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48572-2023</t>
        </is>
      </c>
      <c r="B55" s="1" t="n">
        <v>45202</v>
      </c>
      <c r="C55" s="1" t="n">
        <v>46201</v>
      </c>
      <c r="D55" t="inlineStr">
        <is>
          <t>VÄSTERBOTTENS LÄN</t>
        </is>
      </c>
      <c r="E55" t="inlineStr">
        <is>
          <t>MALÅ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39214-2023</t>
        </is>
      </c>
      <c r="B56" s="1" t="n">
        <v>45166</v>
      </c>
      <c r="C56" s="1" t="n">
        <v>46201</v>
      </c>
      <c r="D56" t="inlineStr">
        <is>
          <t>VÄSTERBOTTENS LÄN</t>
        </is>
      </c>
      <c r="E56" t="inlineStr">
        <is>
          <t>MALÅ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45114-2021</t>
        </is>
      </c>
      <c r="B57" s="1" t="n">
        <v>44439</v>
      </c>
      <c r="C57" s="1" t="n">
        <v>46201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48348-2023</t>
        </is>
      </c>
      <c r="B58" s="1" t="n">
        <v>45201</v>
      </c>
      <c r="C58" s="1" t="n">
        <v>46201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44513-2023</t>
        </is>
      </c>
      <c r="B59" s="1" t="n">
        <v>45189</v>
      </c>
      <c r="C59" s="1" t="n">
        <v>46201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46280-2023</t>
        </is>
      </c>
      <c r="B60" s="1" t="n">
        <v>45195</v>
      </c>
      <c r="C60" s="1" t="n">
        <v>46201</v>
      </c>
      <c r="D60" t="inlineStr">
        <is>
          <t>VÄSTERBOTTENS LÄN</t>
        </is>
      </c>
      <c r="E60" t="inlineStr">
        <is>
          <t>MALÅ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47434-2023</t>
        </is>
      </c>
      <c r="B61" s="1" t="n">
        <v>45197</v>
      </c>
      <c r="C61" s="1" t="n">
        <v>46201</v>
      </c>
      <c r="D61" t="inlineStr">
        <is>
          <t>VÄSTERBOTTENS LÄN</t>
        </is>
      </c>
      <c r="E61" t="inlineStr">
        <is>
          <t>MALÅ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37785-2023</t>
        </is>
      </c>
      <c r="B62" s="1" t="n">
        <v>45159</v>
      </c>
      <c r="C62" s="1" t="n">
        <v>46201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6655-2025</t>
        </is>
      </c>
      <c r="B63" s="1" t="n">
        <v>45700</v>
      </c>
      <c r="C63" s="1" t="n">
        <v>46201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5794-2025</t>
        </is>
      </c>
      <c r="B64" s="1" t="n">
        <v>45694</v>
      </c>
      <c r="C64" s="1" t="n">
        <v>46201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49011-2023</t>
        </is>
      </c>
      <c r="B65" s="1" t="n">
        <v>45204</v>
      </c>
      <c r="C65" s="1" t="n">
        <v>46201</v>
      </c>
      <c r="D65" t="inlineStr">
        <is>
          <t>VÄSTERBOTTENS LÄN</t>
        </is>
      </c>
      <c r="E65" t="inlineStr">
        <is>
          <t>MALÅ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49013-2023</t>
        </is>
      </c>
      <c r="B66" s="1" t="n">
        <v>45204</v>
      </c>
      <c r="C66" s="1" t="n">
        <v>46201</v>
      </c>
      <c r="D66" t="inlineStr">
        <is>
          <t>VÄSTERBOTTENS LÄN</t>
        </is>
      </c>
      <c r="E66" t="inlineStr">
        <is>
          <t>MALÅ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60624-2024</t>
        </is>
      </c>
      <c r="B67" s="1" t="n">
        <v>45642</v>
      </c>
      <c r="C67" s="1" t="n">
        <v>46201</v>
      </c>
      <c r="D67" t="inlineStr">
        <is>
          <t>VÄSTERBOTTENS LÄN</t>
        </is>
      </c>
      <c r="E67" t="inlineStr">
        <is>
          <t>MALÅ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60702-2024</t>
        </is>
      </c>
      <c r="B68" s="1" t="n">
        <v>45642</v>
      </c>
      <c r="C68" s="1" t="n">
        <v>46201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7007-2023</t>
        </is>
      </c>
      <c r="B69" s="1" t="n">
        <v>44967</v>
      </c>
      <c r="C69" s="1" t="n">
        <v>46201</v>
      </c>
      <c r="D69" t="inlineStr">
        <is>
          <t>VÄSTERBOTTENS LÄN</t>
        </is>
      </c>
      <c r="E69" t="inlineStr">
        <is>
          <t>MALÅ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14461-2025</t>
        </is>
      </c>
      <c r="B70" s="1" t="n">
        <v>45741</v>
      </c>
      <c r="C70" s="1" t="n">
        <v>46201</v>
      </c>
      <c r="D70" t="inlineStr">
        <is>
          <t>VÄSTERBOTTENS LÄN</t>
        </is>
      </c>
      <c r="E70" t="inlineStr">
        <is>
          <t>MALÅ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43952-2023</t>
        </is>
      </c>
      <c r="B71" s="1" t="n">
        <v>45187</v>
      </c>
      <c r="C71" s="1" t="n">
        <v>46201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36124-2023</t>
        </is>
      </c>
      <c r="B72" s="1" t="n">
        <v>45149</v>
      </c>
      <c r="C72" s="1" t="n">
        <v>46201</v>
      </c>
      <c r="D72" t="inlineStr">
        <is>
          <t>VÄSTERBOTTENS LÄN</t>
        </is>
      </c>
      <c r="E72" t="inlineStr">
        <is>
          <t>MALÅ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38877-2023</t>
        </is>
      </c>
      <c r="B73" s="1" t="n">
        <v>45162</v>
      </c>
      <c r="C73" s="1" t="n">
        <v>46201</v>
      </c>
      <c r="D73" t="inlineStr">
        <is>
          <t>VÄSTERBOTTENS LÄN</t>
        </is>
      </c>
      <c r="E73" t="inlineStr">
        <is>
          <t>MALÅ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47799-2023</t>
        </is>
      </c>
      <c r="B74" s="1" t="n">
        <v>45203</v>
      </c>
      <c r="C74" s="1" t="n">
        <v>46201</v>
      </c>
      <c r="D74" t="inlineStr">
        <is>
          <t>VÄSTERBOTTENS LÄN</t>
        </is>
      </c>
      <c r="E74" t="inlineStr">
        <is>
          <t>MALÅ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45102-2023</t>
        </is>
      </c>
      <c r="B75" s="1" t="n">
        <v>45190</v>
      </c>
      <c r="C75" s="1" t="n">
        <v>46201</v>
      </c>
      <c r="D75" t="inlineStr">
        <is>
          <t>VÄSTERBOTTENS LÄN</t>
        </is>
      </c>
      <c r="E75" t="inlineStr">
        <is>
          <t>MALÅ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4077-2022</t>
        </is>
      </c>
      <c r="B76" s="1" t="n">
        <v>44587</v>
      </c>
      <c r="C76" s="1" t="n">
        <v>46201</v>
      </c>
      <c r="D76" t="inlineStr">
        <is>
          <t>VÄSTERBOTTENS LÄN</t>
        </is>
      </c>
      <c r="E76" t="inlineStr">
        <is>
          <t>MALÅ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42182-2023</t>
        </is>
      </c>
      <c r="B77" s="1" t="n">
        <v>45178</v>
      </c>
      <c r="C77" s="1" t="n">
        <v>46201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34353-2022</t>
        </is>
      </c>
      <c r="B78" s="1" t="n">
        <v>44792</v>
      </c>
      <c r="C78" s="1" t="n">
        <v>46201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37078-2023</t>
        </is>
      </c>
      <c r="B79" s="1" t="n">
        <v>45155</v>
      </c>
      <c r="C79" s="1" t="n">
        <v>46201</v>
      </c>
      <c r="D79" t="inlineStr">
        <is>
          <t>VÄSTERBOTTENS LÄN</t>
        </is>
      </c>
      <c r="E79" t="inlineStr">
        <is>
          <t>MALÅ</t>
        </is>
      </c>
      <c r="G79" t="n">
        <v>48.2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37181-2023</t>
        </is>
      </c>
      <c r="B80" s="1" t="n">
        <v>45154</v>
      </c>
      <c r="C80" s="1" t="n">
        <v>46201</v>
      </c>
      <c r="D80" t="inlineStr">
        <is>
          <t>VÄSTERBOTTENS LÄN</t>
        </is>
      </c>
      <c r="E80" t="inlineStr">
        <is>
          <t>MALÅ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37444-2023</t>
        </is>
      </c>
      <c r="B81" s="1" t="n">
        <v>45155</v>
      </c>
      <c r="C81" s="1" t="n">
        <v>46201</v>
      </c>
      <c r="D81" t="inlineStr">
        <is>
          <t>VÄSTERBOTTENS LÄN</t>
        </is>
      </c>
      <c r="E81" t="inlineStr">
        <is>
          <t>MALÅ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37537-2023</t>
        </is>
      </c>
      <c r="B82" s="1" t="n">
        <v>45158</v>
      </c>
      <c r="C82" s="1" t="n">
        <v>46201</v>
      </c>
      <c r="D82" t="inlineStr">
        <is>
          <t>VÄSTERBOTTENS LÄN</t>
        </is>
      </c>
      <c r="E82" t="inlineStr">
        <is>
          <t>MALÅ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38404-2023</t>
        </is>
      </c>
      <c r="B83" s="1" t="n">
        <v>45162</v>
      </c>
      <c r="C83" s="1" t="n">
        <v>46201</v>
      </c>
      <c r="D83" t="inlineStr">
        <is>
          <t>VÄSTERBOTTENS LÄN</t>
        </is>
      </c>
      <c r="E83" t="inlineStr">
        <is>
          <t>MALÅ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41852-2023</t>
        </is>
      </c>
      <c r="B84" s="1" t="n">
        <v>45174</v>
      </c>
      <c r="C84" s="1" t="n">
        <v>46201</v>
      </c>
      <c r="D84" t="inlineStr">
        <is>
          <t>VÄSTERBOTTENS LÄN</t>
        </is>
      </c>
      <c r="E84" t="inlineStr">
        <is>
          <t>MALÅ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41913-2023</t>
        </is>
      </c>
      <c r="B85" s="1" t="n">
        <v>45176</v>
      </c>
      <c r="C85" s="1" t="n">
        <v>46201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39788-2023</t>
        </is>
      </c>
      <c r="B86" s="1" t="n">
        <v>45167</v>
      </c>
      <c r="C86" s="1" t="n">
        <v>46201</v>
      </c>
      <c r="D86" t="inlineStr">
        <is>
          <t>VÄSTERBOTTENS LÄN</t>
        </is>
      </c>
      <c r="E86" t="inlineStr">
        <is>
          <t>MALÅ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40588-2023</t>
        </is>
      </c>
      <c r="B87" s="1" t="n">
        <v>45170</v>
      </c>
      <c r="C87" s="1" t="n">
        <v>46201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36054-2023</t>
        </is>
      </c>
      <c r="B88" s="1" t="n">
        <v>45148</v>
      </c>
      <c r="C88" s="1" t="n">
        <v>46201</v>
      </c>
      <c r="D88" t="inlineStr">
        <is>
          <t>VÄSTERBOTTENS LÄN</t>
        </is>
      </c>
      <c r="E88" t="inlineStr">
        <is>
          <t>MALÅ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61990-2024</t>
        </is>
      </c>
      <c r="B89" s="1" t="n">
        <v>45646</v>
      </c>
      <c r="C89" s="1" t="n">
        <v>46201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68036-2021</t>
        </is>
      </c>
      <c r="B90" s="1" t="n">
        <v>44525</v>
      </c>
      <c r="C90" s="1" t="n">
        <v>46201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32772-2024</t>
        </is>
      </c>
      <c r="B91" s="1" t="n">
        <v>45516</v>
      </c>
      <c r="C91" s="1" t="n">
        <v>46201</v>
      </c>
      <c r="D91" t="inlineStr">
        <is>
          <t>VÄSTERBOTTENS LÄN</t>
        </is>
      </c>
      <c r="E91" t="inlineStr">
        <is>
          <t>MALÅ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40822-2023</t>
        </is>
      </c>
      <c r="B92" s="1" t="n">
        <v>45171</v>
      </c>
      <c r="C92" s="1" t="n">
        <v>46201</v>
      </c>
      <c r="D92" t="inlineStr">
        <is>
          <t>VÄSTERBOTTENS LÄN</t>
        </is>
      </c>
      <c r="E92" t="inlineStr">
        <is>
          <t>MALÅ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52795-2024</t>
        </is>
      </c>
      <c r="B93" s="1" t="n">
        <v>45610</v>
      </c>
      <c r="C93" s="1" t="n">
        <v>46201</v>
      </c>
      <c r="D93" t="inlineStr">
        <is>
          <t>VÄSTERBOTTENS LÄN</t>
        </is>
      </c>
      <c r="E93" t="inlineStr">
        <is>
          <t>MALÅ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39320-2023</t>
        </is>
      </c>
      <c r="B94" s="1" t="n">
        <v>45166</v>
      </c>
      <c r="C94" s="1" t="n">
        <v>46201</v>
      </c>
      <c r="D94" t="inlineStr">
        <is>
          <t>VÄSTERBOTTENS LÄN</t>
        </is>
      </c>
      <c r="E94" t="inlineStr">
        <is>
          <t>MALÅ</t>
        </is>
      </c>
      <c r="F94" t="inlineStr">
        <is>
          <t>Kyrkan</t>
        </is>
      </c>
      <c r="G94" t="n">
        <v>84.5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43501-2023</t>
        </is>
      </c>
      <c r="B95" s="1" t="n">
        <v>45184</v>
      </c>
      <c r="C95" s="1" t="n">
        <v>46201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12680-2022</t>
        </is>
      </c>
      <c r="B96" s="1" t="n">
        <v>44641</v>
      </c>
      <c r="C96" s="1" t="n">
        <v>46201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38999-2023</t>
        </is>
      </c>
      <c r="B97" s="1" t="n">
        <v>45162</v>
      </c>
      <c r="C97" s="1" t="n">
        <v>46201</v>
      </c>
      <c r="D97" t="inlineStr">
        <is>
          <t>VÄSTERBOTTENS LÄN</t>
        </is>
      </c>
      <c r="E97" t="inlineStr">
        <is>
          <t>MALÅ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281-2023</t>
        </is>
      </c>
      <c r="B98" s="1" t="n">
        <v>44928</v>
      </c>
      <c r="C98" s="1" t="n">
        <v>46201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59561-2024</t>
        </is>
      </c>
      <c r="B99" s="1" t="n">
        <v>45638</v>
      </c>
      <c r="C99" s="1" t="n">
        <v>46201</v>
      </c>
      <c r="D99" t="inlineStr">
        <is>
          <t>VÄSTERBOTTENS LÄN</t>
        </is>
      </c>
      <c r="E99" t="inlineStr">
        <is>
          <t>MALÅ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54239-2022</t>
        </is>
      </c>
      <c r="B100" s="1" t="n">
        <v>44881</v>
      </c>
      <c r="C100" s="1" t="n">
        <v>46201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37172-2023</t>
        </is>
      </c>
      <c r="B101" s="1" t="n">
        <v>45154</v>
      </c>
      <c r="C101" s="1" t="n">
        <v>46201</v>
      </c>
      <c r="D101" t="inlineStr">
        <is>
          <t>VÄSTERBOTTENS LÄN</t>
        </is>
      </c>
      <c r="E101" t="inlineStr">
        <is>
          <t>MALÅ</t>
        </is>
      </c>
      <c r="G101" t="n">
        <v>73.7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4926-2025</t>
        </is>
      </c>
      <c r="B102" s="1" t="n">
        <v>45688</v>
      </c>
      <c r="C102" s="1" t="n">
        <v>46201</v>
      </c>
      <c r="D102" t="inlineStr">
        <is>
          <t>VÄSTERBOTTENS LÄN</t>
        </is>
      </c>
      <c r="E102" t="inlineStr">
        <is>
          <t>MALÅ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52270-2023</t>
        </is>
      </c>
      <c r="B103" s="1" t="n">
        <v>45217</v>
      </c>
      <c r="C103" s="1" t="n">
        <v>46201</v>
      </c>
      <c r="D103" t="inlineStr">
        <is>
          <t>VÄSTERBOTTENS LÄN</t>
        </is>
      </c>
      <c r="E103" t="inlineStr">
        <is>
          <t>MALÅ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38312-2023</t>
        </is>
      </c>
      <c r="B104" s="1" t="n">
        <v>45161</v>
      </c>
      <c r="C104" s="1" t="n">
        <v>46201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63.6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41353-2023</t>
        </is>
      </c>
      <c r="B105" s="1" t="n">
        <v>45174</v>
      </c>
      <c r="C105" s="1" t="n">
        <v>46201</v>
      </c>
      <c r="D105" t="inlineStr">
        <is>
          <t>VÄSTERBOTTENS LÄN</t>
        </is>
      </c>
      <c r="E105" t="inlineStr">
        <is>
          <t>MALÅ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HYPERLINK("https://klasma.github.io/Logging_2418/knärot/A 41353-2023 karta knärot.png", "A 41353-2023")</f>
        <v/>
      </c>
      <c r="V105">
        <f>HYPERLINK("https://klasma.github.io/Logging_2418/klagomål/A 41353-2023 FSC-klagomål.docx", "A 41353-2023")</f>
        <v/>
      </c>
      <c r="W105">
        <f>HYPERLINK("https://klasma.github.io/Logging_2418/klagomålsmail/A 41353-2023 FSC-klagomål mail.docx", "A 41353-2023")</f>
        <v/>
      </c>
      <c r="X105">
        <f>HYPERLINK("https://klasma.github.io/Logging_2418/tillsyn/A 41353-2023 tillsynsbegäran.docx", "A 41353-2023")</f>
        <v/>
      </c>
      <c r="Y105">
        <f>HYPERLINK("https://klasma.github.io/Logging_2418/tillsynsmail/A 41353-2023 tillsynsbegäran mail.docx", "A 41353-2023")</f>
        <v/>
      </c>
    </row>
    <row r="106" ht="15" customHeight="1">
      <c r="A106" t="inlineStr">
        <is>
          <t>A 56727-2022</t>
        </is>
      </c>
      <c r="B106" s="1" t="n">
        <v>44893</v>
      </c>
      <c r="C106" s="1" t="n">
        <v>46201</v>
      </c>
      <c r="D106" t="inlineStr">
        <is>
          <t>VÄSTERBOTTENS LÄN</t>
        </is>
      </c>
      <c r="E106" t="inlineStr">
        <is>
          <t>MALÅ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48224-2024</t>
        </is>
      </c>
      <c r="B107" s="1" t="n">
        <v>45590</v>
      </c>
      <c r="C107" s="1" t="n">
        <v>46201</v>
      </c>
      <c r="D107" t="inlineStr">
        <is>
          <t>VÄSTERBOTTENS LÄN</t>
        </is>
      </c>
      <c r="E107" t="inlineStr">
        <is>
          <t>MALÅ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32769-2024</t>
        </is>
      </c>
      <c r="B108" s="1" t="n">
        <v>45516</v>
      </c>
      <c r="C108" s="1" t="n">
        <v>46201</v>
      </c>
      <c r="D108" t="inlineStr">
        <is>
          <t>VÄSTERBOTTENS LÄN</t>
        </is>
      </c>
      <c r="E108" t="inlineStr">
        <is>
          <t>MALÅ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48931-2023</t>
        </is>
      </c>
      <c r="B109" s="1" t="n">
        <v>45209</v>
      </c>
      <c r="C109" s="1" t="n">
        <v>46201</v>
      </c>
      <c r="D109" t="inlineStr">
        <is>
          <t>VÄSTERBOTTENS LÄN</t>
        </is>
      </c>
      <c r="E109" t="inlineStr">
        <is>
          <t>MALÅ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61609-2024</t>
        </is>
      </c>
      <c r="B110" s="1" t="n">
        <v>45645</v>
      </c>
      <c r="C110" s="1" t="n">
        <v>46201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42410-2023</t>
        </is>
      </c>
      <c r="B111" s="1" t="n">
        <v>45180</v>
      </c>
      <c r="C111" s="1" t="n">
        <v>46201</v>
      </c>
      <c r="D111" t="inlineStr">
        <is>
          <t>VÄSTERBOTTENS LÄN</t>
        </is>
      </c>
      <c r="E111" t="inlineStr">
        <is>
          <t>MALÅ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6671-2025</t>
        </is>
      </c>
      <c r="B112" s="1" t="n">
        <v>45700</v>
      </c>
      <c r="C112" s="1" t="n">
        <v>46201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39246-2023</t>
        </is>
      </c>
      <c r="B113" s="1" t="n">
        <v>45166</v>
      </c>
      <c r="C113" s="1" t="n">
        <v>46201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40593-2023</t>
        </is>
      </c>
      <c r="B114" s="1" t="n">
        <v>45170</v>
      </c>
      <c r="C114" s="1" t="n">
        <v>46201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39385-2023</t>
        </is>
      </c>
      <c r="B115" s="1" t="n">
        <v>45166</v>
      </c>
      <c r="C115" s="1" t="n">
        <v>46201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39304-2023</t>
        </is>
      </c>
      <c r="B116" s="1" t="n">
        <v>45166</v>
      </c>
      <c r="C116" s="1" t="n">
        <v>46201</v>
      </c>
      <c r="D116" t="inlineStr">
        <is>
          <t>VÄSTERBOTTENS LÄN</t>
        </is>
      </c>
      <c r="E116" t="inlineStr">
        <is>
          <t>MALÅ</t>
        </is>
      </c>
      <c r="F116" t="inlineStr">
        <is>
          <t>Kyrkan</t>
        </is>
      </c>
      <c r="G116" t="n">
        <v>27.3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48322-2023</t>
        </is>
      </c>
      <c r="B117" s="1" t="n">
        <v>45201</v>
      </c>
      <c r="C117" s="1" t="n">
        <v>46201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49839-2023</t>
        </is>
      </c>
      <c r="B118" s="1" t="n">
        <v>45210</v>
      </c>
      <c r="C118" s="1" t="n">
        <v>46201</v>
      </c>
      <c r="D118" t="inlineStr">
        <is>
          <t>VÄSTERBOTTENS LÄN</t>
        </is>
      </c>
      <c r="E118" t="inlineStr">
        <is>
          <t>MALÅ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49840-2023</t>
        </is>
      </c>
      <c r="B119" s="1" t="n">
        <v>45210</v>
      </c>
      <c r="C119" s="1" t="n">
        <v>46201</v>
      </c>
      <c r="D119" t="inlineStr">
        <is>
          <t>VÄSTERBOTTENS LÄN</t>
        </is>
      </c>
      <c r="E119" t="inlineStr">
        <is>
          <t>MALÅ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20234-2023</t>
        </is>
      </c>
      <c r="B120" s="1" t="n">
        <v>45054</v>
      </c>
      <c r="C120" s="1" t="n">
        <v>46201</v>
      </c>
      <c r="D120" t="inlineStr">
        <is>
          <t>VÄSTERBOTTENS LÄN</t>
        </is>
      </c>
      <c r="E120" t="inlineStr">
        <is>
          <t>MALÅ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34413-2023</t>
        </is>
      </c>
      <c r="B121" s="1" t="n">
        <v>45139</v>
      </c>
      <c r="C121" s="1" t="n">
        <v>46201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46359-2023</t>
        </is>
      </c>
      <c r="B122" s="1" t="n">
        <v>45193</v>
      </c>
      <c r="C122" s="1" t="n">
        <v>46201</v>
      </c>
      <c r="D122" t="inlineStr">
        <is>
          <t>VÄSTERBOTTENS LÄN</t>
        </is>
      </c>
      <c r="E122" t="inlineStr">
        <is>
          <t>MALÅ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35917-2022</t>
        </is>
      </c>
      <c r="B123" s="1" t="n">
        <v>44802</v>
      </c>
      <c r="C123" s="1" t="n">
        <v>46201</v>
      </c>
      <c r="D123" t="inlineStr">
        <is>
          <t>VÄSTERBOTTENS LÄN</t>
        </is>
      </c>
      <c r="E123" t="inlineStr">
        <is>
          <t>MALÅ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11299-2025</t>
        </is>
      </c>
      <c r="B124" s="1" t="n">
        <v>45726</v>
      </c>
      <c r="C124" s="1" t="n">
        <v>46201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46066-2021</t>
        </is>
      </c>
      <c r="B125" s="1" t="n">
        <v>44441</v>
      </c>
      <c r="C125" s="1" t="n">
        <v>46201</v>
      </c>
      <c r="D125" t="inlineStr">
        <is>
          <t>VÄSTERBOTTENS LÄN</t>
        </is>
      </c>
      <c r="E125" t="inlineStr">
        <is>
          <t>MALÅ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13001-2023</t>
        </is>
      </c>
      <c r="B126" s="1" t="n">
        <v>45002</v>
      </c>
      <c r="C126" s="1" t="n">
        <v>46201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56997-2023</t>
        </is>
      </c>
      <c r="B127" s="1" t="n">
        <v>45244</v>
      </c>
      <c r="C127" s="1" t="n">
        <v>46201</v>
      </c>
      <c r="D127" t="inlineStr">
        <is>
          <t>VÄSTERBOTTENS LÄN</t>
        </is>
      </c>
      <c r="E127" t="inlineStr">
        <is>
          <t>MALÅ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54463-2023</t>
        </is>
      </c>
      <c r="B128" s="1" t="n">
        <v>45232</v>
      </c>
      <c r="C128" s="1" t="n">
        <v>46201</v>
      </c>
      <c r="D128" t="inlineStr">
        <is>
          <t>VÄSTERBOTTENS LÄN</t>
        </is>
      </c>
      <c r="E128" t="inlineStr">
        <is>
          <t>MALÅ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32618-2023</t>
        </is>
      </c>
      <c r="B129" s="1" t="n">
        <v>45111</v>
      </c>
      <c r="C129" s="1" t="n">
        <v>46201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53256-2023</t>
        </is>
      </c>
      <c r="B130" s="1" t="n">
        <v>45229</v>
      </c>
      <c r="C130" s="1" t="n">
        <v>46201</v>
      </c>
      <c r="D130" t="inlineStr">
        <is>
          <t>VÄSTERBOTTENS LÄN</t>
        </is>
      </c>
      <c r="E130" t="inlineStr">
        <is>
          <t>MALÅ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16212-2025</t>
        </is>
      </c>
      <c r="B131" s="1" t="n">
        <v>45750</v>
      </c>
      <c r="C131" s="1" t="n">
        <v>46201</v>
      </c>
      <c r="D131" t="inlineStr">
        <is>
          <t>VÄSTERBOTTENS LÄN</t>
        </is>
      </c>
      <c r="E131" t="inlineStr">
        <is>
          <t>MALÅ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15847-2023</t>
        </is>
      </c>
      <c r="B132" s="1" t="n">
        <v>45022</v>
      </c>
      <c r="C132" s="1" t="n">
        <v>46201</v>
      </c>
      <c r="D132" t="inlineStr">
        <is>
          <t>VÄSTERBOTTENS LÄN</t>
        </is>
      </c>
      <c r="E132" t="inlineStr">
        <is>
          <t>MALÅ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15850-2023</t>
        </is>
      </c>
      <c r="B133" s="1" t="n">
        <v>45022</v>
      </c>
      <c r="C133" s="1" t="n">
        <v>46201</v>
      </c>
      <c r="D133" t="inlineStr">
        <is>
          <t>VÄSTERBOTTENS LÄN</t>
        </is>
      </c>
      <c r="E133" t="inlineStr">
        <is>
          <t>MALÅ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50504-2024</t>
        </is>
      </c>
      <c r="B134" s="1" t="n">
        <v>45601</v>
      </c>
      <c r="C134" s="1" t="n">
        <v>46201</v>
      </c>
      <c r="D134" t="inlineStr">
        <is>
          <t>VÄSTERBOTTENS LÄN</t>
        </is>
      </c>
      <c r="E134" t="inlineStr">
        <is>
          <t>MALÅ</t>
        </is>
      </c>
      <c r="F134" t="inlineStr">
        <is>
          <t>SCA</t>
        </is>
      </c>
      <c r="G134" t="n">
        <v>25.9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39663-2023</t>
        </is>
      </c>
      <c r="B135" s="1" t="n">
        <v>45167</v>
      </c>
      <c r="C135" s="1" t="n">
        <v>46201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49835-2023</t>
        </is>
      </c>
      <c r="B136" s="1" t="n">
        <v>45210</v>
      </c>
      <c r="C136" s="1" t="n">
        <v>46201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7057-2025</t>
        </is>
      </c>
      <c r="B137" s="1" t="n">
        <v>45701</v>
      </c>
      <c r="C137" s="1" t="n">
        <v>46201</v>
      </c>
      <c r="D137" t="inlineStr">
        <is>
          <t>VÄSTERBOTTENS LÄN</t>
        </is>
      </c>
      <c r="E137" t="inlineStr">
        <is>
          <t>MALÅ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53068-2023</t>
        </is>
      </c>
      <c r="B138" s="1" t="n">
        <v>45227</v>
      </c>
      <c r="C138" s="1" t="n">
        <v>46201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41792-2023</t>
        </is>
      </c>
      <c r="B139" s="1" t="n">
        <v>45176</v>
      </c>
      <c r="C139" s="1" t="n">
        <v>46201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52480-2023</t>
        </is>
      </c>
      <c r="B140" s="1" t="n">
        <v>45225</v>
      </c>
      <c r="C140" s="1" t="n">
        <v>46201</v>
      </c>
      <c r="D140" t="inlineStr">
        <is>
          <t>VÄSTERBOTTENS LÄN</t>
        </is>
      </c>
      <c r="E140" t="inlineStr">
        <is>
          <t>MALÅ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49434-2023</t>
        </is>
      </c>
      <c r="B141" s="1" t="n">
        <v>45211</v>
      </c>
      <c r="C141" s="1" t="n">
        <v>46201</v>
      </c>
      <c r="D141" t="inlineStr">
        <is>
          <t>VÄSTERBOTTENS LÄN</t>
        </is>
      </c>
      <c r="E141" t="inlineStr">
        <is>
          <t>MALÅ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37183-2023</t>
        </is>
      </c>
      <c r="B142" s="1" t="n">
        <v>45154</v>
      </c>
      <c r="C142" s="1" t="n">
        <v>46201</v>
      </c>
      <c r="D142" t="inlineStr">
        <is>
          <t>VÄSTERBOTTENS LÄN</t>
        </is>
      </c>
      <c r="E142" t="inlineStr">
        <is>
          <t>MALÅ</t>
        </is>
      </c>
      <c r="G142" t="n">
        <v>41.2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48731-2023</t>
        </is>
      </c>
      <c r="B143" s="1" t="n">
        <v>45203</v>
      </c>
      <c r="C143" s="1" t="n">
        <v>46201</v>
      </c>
      <c r="D143" t="inlineStr">
        <is>
          <t>VÄSTERBOTTENS LÄN</t>
        </is>
      </c>
      <c r="E143" t="inlineStr">
        <is>
          <t>MALÅ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39994-2023</t>
        </is>
      </c>
      <c r="B144" s="1" t="n">
        <v>45168</v>
      </c>
      <c r="C144" s="1" t="n">
        <v>46201</v>
      </c>
      <c r="D144" t="inlineStr">
        <is>
          <t>VÄSTERBOTTENS LÄN</t>
        </is>
      </c>
      <c r="E144" t="inlineStr">
        <is>
          <t>MALÅ</t>
        </is>
      </c>
      <c r="G144" t="n">
        <v>27.9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42214-2023</t>
        </is>
      </c>
      <c r="B145" s="1" t="n">
        <v>45179</v>
      </c>
      <c r="C145" s="1" t="n">
        <v>46201</v>
      </c>
      <c r="D145" t="inlineStr">
        <is>
          <t>VÄSTERBOTTENS LÄN</t>
        </is>
      </c>
      <c r="E145" t="inlineStr">
        <is>
          <t>MALÅ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36144-2023</t>
        </is>
      </c>
      <c r="B146" s="1" t="n">
        <v>45149</v>
      </c>
      <c r="C146" s="1" t="n">
        <v>46201</v>
      </c>
      <c r="D146" t="inlineStr">
        <is>
          <t>VÄSTERBOTTENS LÄN</t>
        </is>
      </c>
      <c r="E146" t="inlineStr">
        <is>
          <t>MALÅ</t>
        </is>
      </c>
      <c r="G146" t="n">
        <v>147.1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45101-2023</t>
        </is>
      </c>
      <c r="B147" s="1" t="n">
        <v>45190</v>
      </c>
      <c r="C147" s="1" t="n">
        <v>46201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59067-2023</t>
        </is>
      </c>
      <c r="B148" s="1" t="n">
        <v>45252</v>
      </c>
      <c r="C148" s="1" t="n">
        <v>46201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36743-2023</t>
        </is>
      </c>
      <c r="B149" s="1" t="n">
        <v>45153</v>
      </c>
      <c r="C149" s="1" t="n">
        <v>46201</v>
      </c>
      <c r="D149" t="inlineStr">
        <is>
          <t>VÄSTERBOTTENS LÄN</t>
        </is>
      </c>
      <c r="E149" t="inlineStr">
        <is>
          <t>MALÅ</t>
        </is>
      </c>
      <c r="G149" t="n">
        <v>15.7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36744-2023</t>
        </is>
      </c>
      <c r="B150" s="1" t="n">
        <v>45153</v>
      </c>
      <c r="C150" s="1" t="n">
        <v>46201</v>
      </c>
      <c r="D150" t="inlineStr">
        <is>
          <t>VÄSTERBOTTENS LÄN</t>
        </is>
      </c>
      <c r="E150" t="inlineStr">
        <is>
          <t>MALÅ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32767-2024</t>
        </is>
      </c>
      <c r="B151" s="1" t="n">
        <v>45516</v>
      </c>
      <c r="C151" s="1" t="n">
        <v>46201</v>
      </c>
      <c r="D151" t="inlineStr">
        <is>
          <t>VÄSTERBOTTENS LÄN</t>
        </is>
      </c>
      <c r="E151" t="inlineStr">
        <is>
          <t>MALÅ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1497-2025</t>
        </is>
      </c>
      <c r="B152" s="1" t="n">
        <v>45667</v>
      </c>
      <c r="C152" s="1" t="n">
        <v>46201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62257-2023</t>
        </is>
      </c>
      <c r="B153" s="1" t="n">
        <v>45267</v>
      </c>
      <c r="C153" s="1" t="n">
        <v>46201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48089-2024</t>
        </is>
      </c>
      <c r="B154" s="1" t="n">
        <v>45589</v>
      </c>
      <c r="C154" s="1" t="n">
        <v>46201</v>
      </c>
      <c r="D154" t="inlineStr">
        <is>
          <t>VÄSTERBOTTENS LÄN</t>
        </is>
      </c>
      <c r="E154" t="inlineStr">
        <is>
          <t>MALÅ</t>
        </is>
      </c>
      <c r="F154" t="inlineStr">
        <is>
          <t>SCA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62284-2023</t>
        </is>
      </c>
      <c r="B155" s="1" t="n">
        <v>45267</v>
      </c>
      <c r="C155" s="1" t="n">
        <v>46201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14280-2024</t>
        </is>
      </c>
      <c r="B156" s="1" t="n">
        <v>45393</v>
      </c>
      <c r="C156" s="1" t="n">
        <v>46201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44626-2023</t>
        </is>
      </c>
      <c r="B157" s="1" t="n">
        <v>45184</v>
      </c>
      <c r="C157" s="1" t="n">
        <v>46201</v>
      </c>
      <c r="D157" t="inlineStr">
        <is>
          <t>VÄSTERBOTTENS LÄN</t>
        </is>
      </c>
      <c r="E157" t="inlineStr">
        <is>
          <t>MALÅ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39790-2023</t>
        </is>
      </c>
      <c r="B158" s="1" t="n">
        <v>45167</v>
      </c>
      <c r="C158" s="1" t="n">
        <v>46201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37960-2023</t>
        </is>
      </c>
      <c r="B159" s="1" t="n">
        <v>45160</v>
      </c>
      <c r="C159" s="1" t="n">
        <v>46201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56663-2024</t>
        </is>
      </c>
      <c r="B160" s="1" t="n">
        <v>45625</v>
      </c>
      <c r="C160" s="1" t="n">
        <v>46201</v>
      </c>
      <c r="D160" t="inlineStr">
        <is>
          <t>VÄSTERBOTTENS LÄN</t>
        </is>
      </c>
      <c r="E160" t="inlineStr">
        <is>
          <t>MALÅ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53376-2023</t>
        </is>
      </c>
      <c r="B161" s="1" t="n">
        <v>45229</v>
      </c>
      <c r="C161" s="1" t="n">
        <v>46201</v>
      </c>
      <c r="D161" t="inlineStr">
        <is>
          <t>VÄSTERBOTTENS LÄN</t>
        </is>
      </c>
      <c r="E161" t="inlineStr">
        <is>
          <t>MALÅ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62124-2024</t>
        </is>
      </c>
      <c r="B162" s="1" t="n">
        <v>45646</v>
      </c>
      <c r="C162" s="1" t="n">
        <v>46201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36425-2023</t>
        </is>
      </c>
      <c r="B163" s="1" t="n">
        <v>45152</v>
      </c>
      <c r="C163" s="1" t="n">
        <v>46201</v>
      </c>
      <c r="D163" t="inlineStr">
        <is>
          <t>VÄSTERBOTTENS LÄN</t>
        </is>
      </c>
      <c r="E163" t="inlineStr">
        <is>
          <t>MALÅ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44018-2024</t>
        </is>
      </c>
      <c r="B164" s="1" t="n">
        <v>45572</v>
      </c>
      <c r="C164" s="1" t="n">
        <v>46201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48353-2023</t>
        </is>
      </c>
      <c r="B165" s="1" t="n">
        <v>45201</v>
      </c>
      <c r="C165" s="1" t="n">
        <v>46201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39794-2023</t>
        </is>
      </c>
      <c r="B166" s="1" t="n">
        <v>45167</v>
      </c>
      <c r="C166" s="1" t="n">
        <v>46201</v>
      </c>
      <c r="D166" t="inlineStr">
        <is>
          <t>VÄSTERBOTTENS LÄN</t>
        </is>
      </c>
      <c r="E166" t="inlineStr">
        <is>
          <t>MALÅ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52128-2024</t>
        </is>
      </c>
      <c r="B167" s="1" t="n">
        <v>45608</v>
      </c>
      <c r="C167" s="1" t="n">
        <v>46201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61947-2024</t>
        </is>
      </c>
      <c r="B168" s="1" t="n">
        <v>45646</v>
      </c>
      <c r="C168" s="1" t="n">
        <v>46201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37159-2023</t>
        </is>
      </c>
      <c r="B169" s="1" t="n">
        <v>45154</v>
      </c>
      <c r="C169" s="1" t="n">
        <v>46201</v>
      </c>
      <c r="D169" t="inlineStr">
        <is>
          <t>VÄSTERBOTTENS LÄN</t>
        </is>
      </c>
      <c r="E169" t="inlineStr">
        <is>
          <t>MALÅ</t>
        </is>
      </c>
      <c r="G169" t="n">
        <v>63.5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40019-2023</t>
        </is>
      </c>
      <c r="B170" s="1" t="n">
        <v>45167</v>
      </c>
      <c r="C170" s="1" t="n">
        <v>46201</v>
      </c>
      <c r="D170" t="inlineStr">
        <is>
          <t>VÄSTERBOTTENS LÄN</t>
        </is>
      </c>
      <c r="E170" t="inlineStr">
        <is>
          <t>MALÅ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41126-2023</t>
        </is>
      </c>
      <c r="B171" s="1" t="n">
        <v>45173</v>
      </c>
      <c r="C171" s="1" t="n">
        <v>46201</v>
      </c>
      <c r="D171" t="inlineStr">
        <is>
          <t>VÄSTERBOTTENS LÄN</t>
        </is>
      </c>
      <c r="E171" t="inlineStr">
        <is>
          <t>MALÅ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1947-2022</t>
        </is>
      </c>
      <c r="B172" s="1" t="n">
        <v>44575</v>
      </c>
      <c r="C172" s="1" t="n">
        <v>46201</v>
      </c>
      <c r="D172" t="inlineStr">
        <is>
          <t>VÄSTERBOTTENS LÄN</t>
        </is>
      </c>
      <c r="E172" t="inlineStr">
        <is>
          <t>MALÅ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41567-2023</t>
        </is>
      </c>
      <c r="B173" s="1" t="n">
        <v>45175</v>
      </c>
      <c r="C173" s="1" t="n">
        <v>46201</v>
      </c>
      <c r="D173" t="inlineStr">
        <is>
          <t>VÄSTERBOTTENS LÄN</t>
        </is>
      </c>
      <c r="E173" t="inlineStr">
        <is>
          <t>MALÅ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46377-2023</t>
        </is>
      </c>
      <c r="B174" s="1" t="n">
        <v>45193</v>
      </c>
      <c r="C174" s="1" t="n">
        <v>46201</v>
      </c>
      <c r="D174" t="inlineStr">
        <is>
          <t>VÄSTERBOTTENS LÄN</t>
        </is>
      </c>
      <c r="E174" t="inlineStr">
        <is>
          <t>MALÅ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46393-2023</t>
        </is>
      </c>
      <c r="B175" s="1" t="n">
        <v>45193</v>
      </c>
      <c r="C175" s="1" t="n">
        <v>46201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48327-2023</t>
        </is>
      </c>
      <c r="B176" s="1" t="n">
        <v>45201</v>
      </c>
      <c r="C176" s="1" t="n">
        <v>46201</v>
      </c>
      <c r="D176" t="inlineStr">
        <is>
          <t>VÄSTERBOTTENS LÄN</t>
        </is>
      </c>
      <c r="E176" t="inlineStr">
        <is>
          <t>MALÅ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12857-2024</t>
        </is>
      </c>
      <c r="B177" s="1" t="n">
        <v>45384</v>
      </c>
      <c r="C177" s="1" t="n">
        <v>46201</v>
      </c>
      <c r="D177" t="inlineStr">
        <is>
          <t>VÄSTERBOTTENS LÄN</t>
        </is>
      </c>
      <c r="E177" t="inlineStr">
        <is>
          <t>MALÅ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31273-2024</t>
        </is>
      </c>
      <c r="B178" s="1" t="n">
        <v>45504</v>
      </c>
      <c r="C178" s="1" t="n">
        <v>46201</v>
      </c>
      <c r="D178" t="inlineStr">
        <is>
          <t>VÄSTERBOTTENS LÄN</t>
        </is>
      </c>
      <c r="E178" t="inlineStr">
        <is>
          <t>MALÅ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51710-2023</t>
        </is>
      </c>
      <c r="B179" s="1" t="n">
        <v>45222</v>
      </c>
      <c r="C179" s="1" t="n">
        <v>46201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49226-2024</t>
        </is>
      </c>
      <c r="B180" s="1" t="n">
        <v>45595</v>
      </c>
      <c r="C180" s="1" t="n">
        <v>46201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35844-2023</t>
        </is>
      </c>
      <c r="B181" s="1" t="n">
        <v>45148</v>
      </c>
      <c r="C181" s="1" t="n">
        <v>46201</v>
      </c>
      <c r="D181" t="inlineStr">
        <is>
          <t>VÄSTERBOTTENS LÄN</t>
        </is>
      </c>
      <c r="E181" t="inlineStr">
        <is>
          <t>MALÅ</t>
        </is>
      </c>
      <c r="G181" t="n">
        <v>26.3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11824-2023</t>
        </is>
      </c>
      <c r="B182" s="1" t="n">
        <v>44994</v>
      </c>
      <c r="C182" s="1" t="n">
        <v>46201</v>
      </c>
      <c r="D182" t="inlineStr">
        <is>
          <t>VÄSTERBOTTENS LÄN</t>
        </is>
      </c>
      <c r="E182" t="inlineStr">
        <is>
          <t>MALÅ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55594-2024</t>
        </is>
      </c>
      <c r="B183" s="1" t="n">
        <v>45622</v>
      </c>
      <c r="C183" s="1" t="n">
        <v>46201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60.1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12797-2023</t>
        </is>
      </c>
      <c r="B184" s="1" t="n">
        <v>45000</v>
      </c>
      <c r="C184" s="1" t="n">
        <v>46201</v>
      </c>
      <c r="D184" t="inlineStr">
        <is>
          <t>VÄSTERBOTTENS LÄN</t>
        </is>
      </c>
      <c r="E184" t="inlineStr">
        <is>
          <t>MALÅ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37897-2023</t>
        </is>
      </c>
      <c r="B185" s="1" t="n">
        <v>45159</v>
      </c>
      <c r="C185" s="1" t="n">
        <v>46201</v>
      </c>
      <c r="D185" t="inlineStr">
        <is>
          <t>VÄSTERBOTTENS LÄN</t>
        </is>
      </c>
      <c r="E185" t="inlineStr">
        <is>
          <t>MALÅ</t>
        </is>
      </c>
      <c r="G185" t="n">
        <v>30.4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40618-2023</t>
        </is>
      </c>
      <c r="B186" s="1" t="n">
        <v>45170</v>
      </c>
      <c r="C186" s="1" t="n">
        <v>46201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54437-2023</t>
        </is>
      </c>
      <c r="B187" s="1" t="n">
        <v>45233</v>
      </c>
      <c r="C187" s="1" t="n">
        <v>46201</v>
      </c>
      <c r="D187" t="inlineStr">
        <is>
          <t>VÄSTERBOTTENS LÄN</t>
        </is>
      </c>
      <c r="E187" t="inlineStr">
        <is>
          <t>MALÅ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13004-2023</t>
        </is>
      </c>
      <c r="B188" s="1" t="n">
        <v>45002</v>
      </c>
      <c r="C188" s="1" t="n">
        <v>46201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35723-2025</t>
        </is>
      </c>
      <c r="B189" s="1" t="n">
        <v>45860</v>
      </c>
      <c r="C189" s="1" t="n">
        <v>46201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35844-2025</t>
        </is>
      </c>
      <c r="B190" s="1" t="n">
        <v>45861</v>
      </c>
      <c r="C190" s="1" t="n">
        <v>46201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35845-2025</t>
        </is>
      </c>
      <c r="B191" s="1" t="n">
        <v>45861</v>
      </c>
      <c r="C191" s="1" t="n">
        <v>46201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35728-2025</t>
        </is>
      </c>
      <c r="B192" s="1" t="n">
        <v>45860</v>
      </c>
      <c r="C192" s="1" t="n">
        <v>46201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35851-2025</t>
        </is>
      </c>
      <c r="B193" s="1" t="n">
        <v>45861</v>
      </c>
      <c r="C193" s="1" t="n">
        <v>46201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538-2025</t>
        </is>
      </c>
      <c r="B194" s="1" t="n">
        <v>45660</v>
      </c>
      <c r="C194" s="1" t="n">
        <v>46201</v>
      </c>
      <c r="D194" t="inlineStr">
        <is>
          <t>VÄSTERBOTTENS LÄN</t>
        </is>
      </c>
      <c r="E194" t="inlineStr">
        <is>
          <t>MALÅ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549-2025</t>
        </is>
      </c>
      <c r="B195" s="1" t="n">
        <v>45660</v>
      </c>
      <c r="C195" s="1" t="n">
        <v>46201</v>
      </c>
      <c r="D195" t="inlineStr">
        <is>
          <t>VÄSTERBOTTENS LÄN</t>
        </is>
      </c>
      <c r="E195" t="inlineStr">
        <is>
          <t>MALÅ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37678-2023</t>
        </is>
      </c>
      <c r="B196" s="1" t="n">
        <v>45156</v>
      </c>
      <c r="C196" s="1" t="n">
        <v>46201</v>
      </c>
      <c r="D196" t="inlineStr">
        <is>
          <t>VÄSTERBOTTENS LÄN</t>
        </is>
      </c>
      <c r="E196" t="inlineStr">
        <is>
          <t>MALÅ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35856-2025</t>
        </is>
      </c>
      <c r="B197" s="1" t="n">
        <v>45861</v>
      </c>
      <c r="C197" s="1" t="n">
        <v>46201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36286-2025</t>
        </is>
      </c>
      <c r="B198" s="1" t="n">
        <v>45867</v>
      </c>
      <c r="C198" s="1" t="n">
        <v>46201</v>
      </c>
      <c r="D198" t="inlineStr">
        <is>
          <t>VÄSTERBOTTENS LÄN</t>
        </is>
      </c>
      <c r="E198" t="inlineStr">
        <is>
          <t>MALÅ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39148-2023</t>
        </is>
      </c>
      <c r="B199" s="1" t="n">
        <v>45166</v>
      </c>
      <c r="C199" s="1" t="n">
        <v>46201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40370-2023</t>
        </is>
      </c>
      <c r="B200" s="1" t="n">
        <v>45168</v>
      </c>
      <c r="C200" s="1" t="n">
        <v>46201</v>
      </c>
      <c r="D200" t="inlineStr">
        <is>
          <t>VÄSTERBOTTENS LÄN</t>
        </is>
      </c>
      <c r="E200" t="inlineStr">
        <is>
          <t>MALÅ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36687-2023</t>
        </is>
      </c>
      <c r="B201" s="1" t="n">
        <v>45152</v>
      </c>
      <c r="C201" s="1" t="n">
        <v>46201</v>
      </c>
      <c r="D201" t="inlineStr">
        <is>
          <t>VÄSTERBOTTENS LÄN</t>
        </is>
      </c>
      <c r="E201" t="inlineStr">
        <is>
          <t>MALÅ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36742-2023</t>
        </is>
      </c>
      <c r="B202" s="1" t="n">
        <v>45153</v>
      </c>
      <c r="C202" s="1" t="n">
        <v>46201</v>
      </c>
      <c r="D202" t="inlineStr">
        <is>
          <t>VÄSTERBOTTENS LÄN</t>
        </is>
      </c>
      <c r="E202" t="inlineStr">
        <is>
          <t>MALÅ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36747-2023</t>
        </is>
      </c>
      <c r="B203" s="1" t="n">
        <v>45153</v>
      </c>
      <c r="C203" s="1" t="n">
        <v>46201</v>
      </c>
      <c r="D203" t="inlineStr">
        <is>
          <t>VÄSTERBOTTENS LÄN</t>
        </is>
      </c>
      <c r="E203" t="inlineStr">
        <is>
          <t>MALÅ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36706-2023</t>
        </is>
      </c>
      <c r="B204" s="1" t="n">
        <v>45152</v>
      </c>
      <c r="C204" s="1" t="n">
        <v>46201</v>
      </c>
      <c r="D204" t="inlineStr">
        <is>
          <t>VÄSTERBOTTENS LÄN</t>
        </is>
      </c>
      <c r="E204" t="inlineStr">
        <is>
          <t>MALÅ</t>
        </is>
      </c>
      <c r="G204" t="n">
        <v>41.7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37119-2025</t>
        </is>
      </c>
      <c r="B205" s="1" t="n">
        <v>45875</v>
      </c>
      <c r="C205" s="1" t="n">
        <v>46201</v>
      </c>
      <c r="D205" t="inlineStr">
        <is>
          <t>VÄSTERBOTTENS LÄN</t>
        </is>
      </c>
      <c r="E205" t="inlineStr">
        <is>
          <t>MALÅ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60616-2024</t>
        </is>
      </c>
      <c r="B206" s="1" t="n">
        <v>45642</v>
      </c>
      <c r="C206" s="1" t="n">
        <v>46201</v>
      </c>
      <c r="D206" t="inlineStr">
        <is>
          <t>VÄSTERBOTTENS LÄN</t>
        </is>
      </c>
      <c r="E206" t="inlineStr">
        <is>
          <t>MALÅ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33690-2024</t>
        </is>
      </c>
      <c r="B207" s="1" t="n">
        <v>45520</v>
      </c>
      <c r="C207" s="1" t="n">
        <v>46201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29450-2024</t>
        </is>
      </c>
      <c r="B208" s="1" t="n">
        <v>45483</v>
      </c>
      <c r="C208" s="1" t="n">
        <v>46201</v>
      </c>
      <c r="D208" t="inlineStr">
        <is>
          <t>VÄSTERBOTTENS LÄN</t>
        </is>
      </c>
      <c r="E208" t="inlineStr">
        <is>
          <t>MALÅ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58838-2024</t>
        </is>
      </c>
      <c r="B209" s="1" t="n">
        <v>45636</v>
      </c>
      <c r="C209" s="1" t="n">
        <v>46201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55507-2024</t>
        </is>
      </c>
      <c r="B210" s="1" t="n">
        <v>45622</v>
      </c>
      <c r="C210" s="1" t="n">
        <v>46201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60591-2024</t>
        </is>
      </c>
      <c r="B211" s="1" t="n">
        <v>45642</v>
      </c>
      <c r="C211" s="1" t="n">
        <v>46201</v>
      </c>
      <c r="D211" t="inlineStr">
        <is>
          <t>VÄSTERBOTTENS LÄN</t>
        </is>
      </c>
      <c r="E211" t="inlineStr">
        <is>
          <t>MALÅ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37922-2023</t>
        </is>
      </c>
      <c r="B212" s="1" t="n">
        <v>45159</v>
      </c>
      <c r="C212" s="1" t="n">
        <v>46201</v>
      </c>
      <c r="D212" t="inlineStr">
        <is>
          <t>VÄSTERBOTTENS LÄN</t>
        </is>
      </c>
      <c r="E212" t="inlineStr">
        <is>
          <t>MALÅ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59866-2021</t>
        </is>
      </c>
      <c r="B213" s="1" t="n">
        <v>44491</v>
      </c>
      <c r="C213" s="1" t="n">
        <v>46201</v>
      </c>
      <c r="D213" t="inlineStr">
        <is>
          <t>VÄSTERBOTTENS LÄN</t>
        </is>
      </c>
      <c r="E213" t="inlineStr">
        <is>
          <t>MALÅ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48034-2025</t>
        </is>
      </c>
      <c r="B214" s="1" t="n">
        <v>45932</v>
      </c>
      <c r="C214" s="1" t="n">
        <v>46201</v>
      </c>
      <c r="D214" t="inlineStr">
        <is>
          <t>VÄSTERBOTTENS LÄN</t>
        </is>
      </c>
      <c r="E214" t="inlineStr">
        <is>
          <t>MALÅ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36695-2023</t>
        </is>
      </c>
      <c r="B215" s="1" t="n">
        <v>45152</v>
      </c>
      <c r="C215" s="1" t="n">
        <v>46201</v>
      </c>
      <c r="D215" t="inlineStr">
        <is>
          <t>VÄSTERBOTTENS LÄN</t>
        </is>
      </c>
      <c r="E215" t="inlineStr">
        <is>
          <t>MALÅ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48058-2025</t>
        </is>
      </c>
      <c r="B216" s="1" t="n">
        <v>45932</v>
      </c>
      <c r="C216" s="1" t="n">
        <v>46201</v>
      </c>
      <c r="D216" t="inlineStr">
        <is>
          <t>VÄSTERBOTTENS LÄN</t>
        </is>
      </c>
      <c r="E216" t="inlineStr">
        <is>
          <t>MALÅ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50517-2024</t>
        </is>
      </c>
      <c r="B217" s="1" t="n">
        <v>45601</v>
      </c>
      <c r="C217" s="1" t="n">
        <v>46201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41792-2023</t>
        </is>
      </c>
      <c r="B218" s="1" t="n">
        <v>45176</v>
      </c>
      <c r="C218" s="1" t="n">
        <v>46201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41852-2023</t>
        </is>
      </c>
      <c r="B219" s="1" t="n">
        <v>45174</v>
      </c>
      <c r="C219" s="1" t="n">
        <v>46201</v>
      </c>
      <c r="D219" t="inlineStr">
        <is>
          <t>VÄSTERBOTTENS LÄN</t>
        </is>
      </c>
      <c r="E219" t="inlineStr">
        <is>
          <t>MALÅ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48994-2025</t>
        </is>
      </c>
      <c r="B220" s="1" t="n">
        <v>45937</v>
      </c>
      <c r="C220" s="1" t="n">
        <v>46201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49657-2025</t>
        </is>
      </c>
      <c r="B221" s="1" t="n">
        <v>45939</v>
      </c>
      <c r="C221" s="1" t="n">
        <v>46201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49661-2025</t>
        </is>
      </c>
      <c r="B222" s="1" t="n">
        <v>45939</v>
      </c>
      <c r="C222" s="1" t="n">
        <v>46201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49202-2025</t>
        </is>
      </c>
      <c r="B223" s="1" t="n">
        <v>45938</v>
      </c>
      <c r="C223" s="1" t="n">
        <v>46201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48983-2025</t>
        </is>
      </c>
      <c r="B224" s="1" t="n">
        <v>45937</v>
      </c>
      <c r="C224" s="1" t="n">
        <v>46201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49070-2025</t>
        </is>
      </c>
      <c r="B225" s="1" t="n">
        <v>45937</v>
      </c>
      <c r="C225" s="1" t="n">
        <v>46201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49541-2025</t>
        </is>
      </c>
      <c r="B226" s="1" t="n">
        <v>45939</v>
      </c>
      <c r="C226" s="1" t="n">
        <v>46201</v>
      </c>
      <c r="D226" t="inlineStr">
        <is>
          <t>VÄSTERBOTTENS LÄN</t>
        </is>
      </c>
      <c r="E226" t="inlineStr">
        <is>
          <t>MALÅ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49207-2025</t>
        </is>
      </c>
      <c r="B227" s="1" t="n">
        <v>45938</v>
      </c>
      <c r="C227" s="1" t="n">
        <v>46201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39622-2025</t>
        </is>
      </c>
      <c r="B228" s="1" t="n">
        <v>45890</v>
      </c>
      <c r="C228" s="1" t="n">
        <v>46201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39614-2025</t>
        </is>
      </c>
      <c r="B229" s="1" t="n">
        <v>45890</v>
      </c>
      <c r="C229" s="1" t="n">
        <v>46201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39627-2025</t>
        </is>
      </c>
      <c r="B230" s="1" t="n">
        <v>45890</v>
      </c>
      <c r="C230" s="1" t="n">
        <v>46201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31088-2024</t>
        </is>
      </c>
      <c r="B231" s="1" t="n">
        <v>45502</v>
      </c>
      <c r="C231" s="1" t="n">
        <v>46201</v>
      </c>
      <c r="D231" t="inlineStr">
        <is>
          <t>VÄSTERBOTTENS LÄN</t>
        </is>
      </c>
      <c r="E231" t="inlineStr">
        <is>
          <t>MALÅ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37171-2023</t>
        </is>
      </c>
      <c r="B232" s="1" t="n">
        <v>45154</v>
      </c>
      <c r="C232" s="1" t="n">
        <v>46201</v>
      </c>
      <c r="D232" t="inlineStr">
        <is>
          <t>VÄSTERBOTTENS LÄN</t>
        </is>
      </c>
      <c r="E232" t="inlineStr">
        <is>
          <t>MALÅ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37327-2023</t>
        </is>
      </c>
      <c r="B233" s="1" t="n">
        <v>45154</v>
      </c>
      <c r="C233" s="1" t="n">
        <v>46201</v>
      </c>
      <c r="D233" t="inlineStr">
        <is>
          <t>VÄSTERBOTTENS LÄN</t>
        </is>
      </c>
      <c r="E233" t="inlineStr">
        <is>
          <t>MALÅ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51165-2025</t>
        </is>
      </c>
      <c r="B234" s="1" t="n">
        <v>45947</v>
      </c>
      <c r="C234" s="1" t="n">
        <v>46201</v>
      </c>
      <c r="D234" t="inlineStr">
        <is>
          <t>VÄSTERBOTTENS LÄN</t>
        </is>
      </c>
      <c r="E234" t="inlineStr">
        <is>
          <t>MALÅ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23631-2024</t>
        </is>
      </c>
      <c r="B235" s="1" t="n">
        <v>45454</v>
      </c>
      <c r="C235" s="1" t="n">
        <v>46201</v>
      </c>
      <c r="D235" t="inlineStr">
        <is>
          <t>VÄSTERBOTTENS LÄN</t>
        </is>
      </c>
      <c r="E235" t="inlineStr">
        <is>
          <t>MALÅ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50920-2025</t>
        </is>
      </c>
      <c r="B236" s="1" t="n">
        <v>45946</v>
      </c>
      <c r="C236" s="1" t="n">
        <v>46201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41212-2025</t>
        </is>
      </c>
      <c r="B237" s="1" t="n">
        <v>45898</v>
      </c>
      <c r="C237" s="1" t="n">
        <v>46201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41559-2025</t>
        </is>
      </c>
      <c r="B238" s="1" t="n">
        <v>45901</v>
      </c>
      <c r="C238" s="1" t="n">
        <v>46201</v>
      </c>
      <c r="D238" t="inlineStr">
        <is>
          <t>VÄSTERBOTTENS LÄN</t>
        </is>
      </c>
      <c r="E238" t="inlineStr">
        <is>
          <t>MALÅ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40943-2025</t>
        </is>
      </c>
      <c r="B239" s="1" t="n">
        <v>45897</v>
      </c>
      <c r="C239" s="1" t="n">
        <v>46201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41198-2025</t>
        </is>
      </c>
      <c r="B240" s="1" t="n">
        <v>45898</v>
      </c>
      <c r="C240" s="1" t="n">
        <v>46201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33692-2024</t>
        </is>
      </c>
      <c r="B241" s="1" t="n">
        <v>45520</v>
      </c>
      <c r="C241" s="1" t="n">
        <v>46201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41191-2025</t>
        </is>
      </c>
      <c r="B242" s="1" t="n">
        <v>45898</v>
      </c>
      <c r="C242" s="1" t="n">
        <v>46201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51952-2025</t>
        </is>
      </c>
      <c r="B243" s="1" t="n">
        <v>45952</v>
      </c>
      <c r="C243" s="1" t="n">
        <v>46201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51963-2025</t>
        </is>
      </c>
      <c r="B244" s="1" t="n">
        <v>45952</v>
      </c>
      <c r="C244" s="1" t="n">
        <v>46201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10121-2025</t>
        </is>
      </c>
      <c r="B245" s="1" t="n">
        <v>45719</v>
      </c>
      <c r="C245" s="1" t="n">
        <v>46201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41672-2025</t>
        </is>
      </c>
      <c r="B246" s="1" t="n">
        <v>45902</v>
      </c>
      <c r="C246" s="1" t="n">
        <v>46201</v>
      </c>
      <c r="D246" t="inlineStr">
        <is>
          <t>VÄSTERBOTTENS LÄN</t>
        </is>
      </c>
      <c r="E246" t="inlineStr">
        <is>
          <t>MALÅ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51935-2025</t>
        </is>
      </c>
      <c r="B247" s="1" t="n">
        <v>45952</v>
      </c>
      <c r="C247" s="1" t="n">
        <v>46201</v>
      </c>
      <c r="D247" t="inlineStr">
        <is>
          <t>VÄSTERBOTTENS LÄN</t>
        </is>
      </c>
      <c r="E247" t="inlineStr">
        <is>
          <t>MALÅ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51936-2025</t>
        </is>
      </c>
      <c r="B248" s="1" t="n">
        <v>45952</v>
      </c>
      <c r="C248" s="1" t="n">
        <v>46201</v>
      </c>
      <c r="D248" t="inlineStr">
        <is>
          <t>VÄSTERBOTTENS LÄN</t>
        </is>
      </c>
      <c r="E248" t="inlineStr">
        <is>
          <t>MALÅ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51950-2025</t>
        </is>
      </c>
      <c r="B249" s="1" t="n">
        <v>45952</v>
      </c>
      <c r="C249" s="1" t="n">
        <v>46201</v>
      </c>
      <c r="D249" t="inlineStr">
        <is>
          <t>VÄSTERBOTTENS LÄN</t>
        </is>
      </c>
      <c r="E249" t="inlineStr">
        <is>
          <t>MALÅ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51968-2025</t>
        </is>
      </c>
      <c r="B250" s="1" t="n">
        <v>45952</v>
      </c>
      <c r="C250" s="1" t="n">
        <v>46201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51967-2025</t>
        </is>
      </c>
      <c r="B251" s="1" t="n">
        <v>45952</v>
      </c>
      <c r="C251" s="1" t="n">
        <v>46201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42394-2025</t>
        </is>
      </c>
      <c r="B252" s="1" t="n">
        <v>45904</v>
      </c>
      <c r="C252" s="1" t="n">
        <v>46201</v>
      </c>
      <c r="D252" t="inlineStr">
        <is>
          <t>VÄSTERBOTTENS LÄN</t>
        </is>
      </c>
      <c r="E252" t="inlineStr">
        <is>
          <t>MALÅ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51573-2023</t>
        </is>
      </c>
      <c r="B253" s="1" t="n">
        <v>45222</v>
      </c>
      <c r="C253" s="1" t="n">
        <v>46201</v>
      </c>
      <c r="D253" t="inlineStr">
        <is>
          <t>VÄSTERBOTTENS LÄN</t>
        </is>
      </c>
      <c r="E253" t="inlineStr">
        <is>
          <t>MALÅ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51380-2023</t>
        </is>
      </c>
      <c r="B254" s="1" t="n">
        <v>45219</v>
      </c>
      <c r="C254" s="1" t="n">
        <v>46201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67383-2021</t>
        </is>
      </c>
      <c r="B255" s="1" t="n">
        <v>44523</v>
      </c>
      <c r="C255" s="1" t="n">
        <v>46201</v>
      </c>
      <c r="D255" t="inlineStr">
        <is>
          <t>VÄSTERBOTTENS LÄN</t>
        </is>
      </c>
      <c r="E255" t="inlineStr">
        <is>
          <t>MALÅ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57499-2022</t>
        </is>
      </c>
      <c r="B256" s="1" t="n">
        <v>44889</v>
      </c>
      <c r="C256" s="1" t="n">
        <v>46201</v>
      </c>
      <c r="D256" t="inlineStr">
        <is>
          <t>VÄSTERBOTTENS LÄN</t>
        </is>
      </c>
      <c r="E256" t="inlineStr">
        <is>
          <t>MALÅ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45789-2023</t>
        </is>
      </c>
      <c r="B257" s="1" t="n">
        <v>45189</v>
      </c>
      <c r="C257" s="1" t="n">
        <v>46201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51387-2023</t>
        </is>
      </c>
      <c r="B258" s="1" t="n">
        <v>45219</v>
      </c>
      <c r="C258" s="1" t="n">
        <v>46201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46989-2023</t>
        </is>
      </c>
      <c r="B259" s="1" t="n">
        <v>45201</v>
      </c>
      <c r="C259" s="1" t="n">
        <v>46201</v>
      </c>
      <c r="D259" t="inlineStr">
        <is>
          <t>VÄSTERBOTTENS LÄN</t>
        </is>
      </c>
      <c r="E259" t="inlineStr">
        <is>
          <t>MALÅ</t>
        </is>
      </c>
      <c r="G259" t="n">
        <v>22.9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59801-2021</t>
        </is>
      </c>
      <c r="B260" s="1" t="n">
        <v>44491</v>
      </c>
      <c r="C260" s="1" t="n">
        <v>46201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43854-2024</t>
        </is>
      </c>
      <c r="B261" s="1" t="n">
        <v>45572</v>
      </c>
      <c r="C261" s="1" t="n">
        <v>46201</v>
      </c>
      <c r="D261" t="inlineStr">
        <is>
          <t>VÄSTERBOTTENS LÄN</t>
        </is>
      </c>
      <c r="E261" t="inlineStr">
        <is>
          <t>MALÅ</t>
        </is>
      </c>
      <c r="F261" t="inlineStr">
        <is>
          <t>Kommuner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32979-2024</t>
        </is>
      </c>
      <c r="B262" s="1" t="n">
        <v>45516</v>
      </c>
      <c r="C262" s="1" t="n">
        <v>46201</v>
      </c>
      <c r="D262" t="inlineStr">
        <is>
          <t>VÄSTERBOTTENS LÄN</t>
        </is>
      </c>
      <c r="E262" t="inlineStr">
        <is>
          <t>MALÅ</t>
        </is>
      </c>
      <c r="G262" t="n">
        <v>15.5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43724-2025</t>
        </is>
      </c>
      <c r="B263" s="1" t="n">
        <v>45912</v>
      </c>
      <c r="C263" s="1" t="n">
        <v>46201</v>
      </c>
      <c r="D263" t="inlineStr">
        <is>
          <t>VÄSTERBOTTENS LÄN</t>
        </is>
      </c>
      <c r="E263" t="inlineStr">
        <is>
          <t>MALÅ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61992-2024</t>
        </is>
      </c>
      <c r="B264" s="1" t="n">
        <v>45646</v>
      </c>
      <c r="C264" s="1" t="n">
        <v>46201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53595-2025</t>
        </is>
      </c>
      <c r="B265" s="1" t="n">
        <v>45960</v>
      </c>
      <c r="C265" s="1" t="n">
        <v>46201</v>
      </c>
      <c r="D265" t="inlineStr">
        <is>
          <t>VÄSTERBOTTENS LÄN</t>
        </is>
      </c>
      <c r="E265" t="inlineStr">
        <is>
          <t>MALÅ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6910-2023</t>
        </is>
      </c>
      <c r="B266" s="1" t="n">
        <v>44964</v>
      </c>
      <c r="C266" s="1" t="n">
        <v>46201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52104-2023</t>
        </is>
      </c>
      <c r="B267" s="1" t="n">
        <v>45223</v>
      </c>
      <c r="C267" s="1" t="n">
        <v>46201</v>
      </c>
      <c r="D267" t="inlineStr">
        <is>
          <t>VÄSTERBOTTENS LÄN</t>
        </is>
      </c>
      <c r="E267" t="inlineStr">
        <is>
          <t>MALÅ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54456-2025</t>
        </is>
      </c>
      <c r="B268" s="1" t="n">
        <v>45965</v>
      </c>
      <c r="C268" s="1" t="n">
        <v>46201</v>
      </c>
      <c r="D268" t="inlineStr">
        <is>
          <t>VÄSTERBOTTENS LÄN</t>
        </is>
      </c>
      <c r="E268" t="inlineStr">
        <is>
          <t>MALÅ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40607-2023</t>
        </is>
      </c>
      <c r="B269" s="1" t="n">
        <v>45170</v>
      </c>
      <c r="C269" s="1" t="n">
        <v>46201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44802-2025</t>
        </is>
      </c>
      <c r="B270" s="1" t="n">
        <v>45918</v>
      </c>
      <c r="C270" s="1" t="n">
        <v>46201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54064-2025</t>
        </is>
      </c>
      <c r="B271" s="1" t="n">
        <v>45964</v>
      </c>
      <c r="C271" s="1" t="n">
        <v>46201</v>
      </c>
      <c r="D271" t="inlineStr">
        <is>
          <t>VÄSTERBOTTENS LÄN</t>
        </is>
      </c>
      <c r="E271" t="inlineStr">
        <is>
          <t>MALÅ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36676-2023</t>
        </is>
      </c>
      <c r="B272" s="1" t="n">
        <v>45152</v>
      </c>
      <c r="C272" s="1" t="n">
        <v>46201</v>
      </c>
      <c r="D272" t="inlineStr">
        <is>
          <t>VÄSTERBOTTENS LÄN</t>
        </is>
      </c>
      <c r="E272" t="inlineStr">
        <is>
          <t>MALÅ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54628-2025</t>
        </is>
      </c>
      <c r="B273" s="1" t="n">
        <v>45966</v>
      </c>
      <c r="C273" s="1" t="n">
        <v>46201</v>
      </c>
      <c r="D273" t="inlineStr">
        <is>
          <t>VÄSTERBOTTENS LÄN</t>
        </is>
      </c>
      <c r="E273" t="inlineStr">
        <is>
          <t>MALÅ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60503-2024</t>
        </is>
      </c>
      <c r="B274" s="1" t="n">
        <v>45643</v>
      </c>
      <c r="C274" s="1" t="n">
        <v>46201</v>
      </c>
      <c r="D274" t="inlineStr">
        <is>
          <t>VÄSTERBOTTENS LÄN</t>
        </is>
      </c>
      <c r="E274" t="inlineStr">
        <is>
          <t>MALÅ</t>
        </is>
      </c>
      <c r="G274" t="n">
        <v>28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54760-2025</t>
        </is>
      </c>
      <c r="B275" s="1" t="n">
        <v>45966</v>
      </c>
      <c r="C275" s="1" t="n">
        <v>46201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14304-2025</t>
        </is>
      </c>
      <c r="B276" s="1" t="n">
        <v>45740</v>
      </c>
      <c r="C276" s="1" t="n">
        <v>46201</v>
      </c>
      <c r="D276" t="inlineStr">
        <is>
          <t>VÄSTERBOTTENS LÄN</t>
        </is>
      </c>
      <c r="E276" t="inlineStr">
        <is>
          <t>MALÅ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54742-2025</t>
        </is>
      </c>
      <c r="B277" s="1" t="n">
        <v>45966</v>
      </c>
      <c r="C277" s="1" t="n">
        <v>46201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5700-2025</t>
        </is>
      </c>
      <c r="B278" s="1" t="n">
        <v>45694</v>
      </c>
      <c r="C278" s="1" t="n">
        <v>46201</v>
      </c>
      <c r="D278" t="inlineStr">
        <is>
          <t>VÄSTERBOTTENS LÄN</t>
        </is>
      </c>
      <c r="E278" t="inlineStr">
        <is>
          <t>MALÅ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54463-2025</t>
        </is>
      </c>
      <c r="B279" s="1" t="n">
        <v>45964</v>
      </c>
      <c r="C279" s="1" t="n">
        <v>46201</v>
      </c>
      <c r="D279" t="inlineStr">
        <is>
          <t>VÄSTERBOTTENS LÄN</t>
        </is>
      </c>
      <c r="E279" t="inlineStr">
        <is>
          <t>MALÅ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10843-2024</t>
        </is>
      </c>
      <c r="B280" s="1" t="n">
        <v>45369</v>
      </c>
      <c r="C280" s="1" t="n">
        <v>46201</v>
      </c>
      <c r="D280" t="inlineStr">
        <is>
          <t>VÄSTERBOTTENS LÄN</t>
        </is>
      </c>
      <c r="E280" t="inlineStr">
        <is>
          <t>MALÅ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54455-2025</t>
        </is>
      </c>
      <c r="B281" s="1" t="n">
        <v>45964</v>
      </c>
      <c r="C281" s="1" t="n">
        <v>46201</v>
      </c>
      <c r="D281" t="inlineStr">
        <is>
          <t>VÄSTERBOTTENS LÄN</t>
        </is>
      </c>
      <c r="E281" t="inlineStr">
        <is>
          <t>MALÅ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57303-2023</t>
        </is>
      </c>
      <c r="B282" s="1" t="n">
        <v>45245</v>
      </c>
      <c r="C282" s="1" t="n">
        <v>46201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55661-2025</t>
        </is>
      </c>
      <c r="B283" s="1" t="n">
        <v>45972</v>
      </c>
      <c r="C283" s="1" t="n">
        <v>46201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56102-2025</t>
        </is>
      </c>
      <c r="B284" s="1" t="n">
        <v>45973</v>
      </c>
      <c r="C284" s="1" t="n">
        <v>46201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24924-2025</t>
        </is>
      </c>
      <c r="B285" s="1" t="n">
        <v>45799</v>
      </c>
      <c r="C285" s="1" t="n">
        <v>46201</v>
      </c>
      <c r="D285" t="inlineStr">
        <is>
          <t>VÄSTERBOTTENS LÄN</t>
        </is>
      </c>
      <c r="E285" t="inlineStr">
        <is>
          <t>MALÅ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47797-2021</t>
        </is>
      </c>
      <c r="B286" s="1" t="n">
        <v>44448</v>
      </c>
      <c r="C286" s="1" t="n">
        <v>46201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24925-2025</t>
        </is>
      </c>
      <c r="B287" s="1" t="n">
        <v>45799</v>
      </c>
      <c r="C287" s="1" t="n">
        <v>46201</v>
      </c>
      <c r="D287" t="inlineStr">
        <is>
          <t>VÄSTERBOTTENS LÄN</t>
        </is>
      </c>
      <c r="E287" t="inlineStr">
        <is>
          <t>MALÅ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24681-2025</t>
        </is>
      </c>
      <c r="B288" s="1" t="n">
        <v>45798</v>
      </c>
      <c r="C288" s="1" t="n">
        <v>46201</v>
      </c>
      <c r="D288" t="inlineStr">
        <is>
          <t>VÄSTERBOTTENS LÄN</t>
        </is>
      </c>
      <c r="E288" t="inlineStr">
        <is>
          <t>MALÅ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58258-2025</t>
        </is>
      </c>
      <c r="B289" s="1" t="n">
        <v>45985</v>
      </c>
      <c r="C289" s="1" t="n">
        <v>46201</v>
      </c>
      <c r="D289" t="inlineStr">
        <is>
          <t>VÄSTERBOTTENS LÄN</t>
        </is>
      </c>
      <c r="E289" t="inlineStr">
        <is>
          <t>MALÅ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56094-2025</t>
        </is>
      </c>
      <c r="B290" s="1" t="n">
        <v>45973</v>
      </c>
      <c r="C290" s="1" t="n">
        <v>46201</v>
      </c>
      <c r="D290" t="inlineStr">
        <is>
          <t>VÄSTERBOTTENS LÄN</t>
        </is>
      </c>
      <c r="E290" t="inlineStr">
        <is>
          <t>MALÅ</t>
        </is>
      </c>
      <c r="G290" t="n">
        <v>20.7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58893-2025</t>
        </is>
      </c>
      <c r="B291" s="1" t="n">
        <v>45987</v>
      </c>
      <c r="C291" s="1" t="n">
        <v>46201</v>
      </c>
      <c r="D291" t="inlineStr">
        <is>
          <t>VÄSTERBOTTENS LÄN</t>
        </is>
      </c>
      <c r="E291" t="inlineStr">
        <is>
          <t>MALÅ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58894-2025</t>
        </is>
      </c>
      <c r="B292" s="1" t="n">
        <v>45987</v>
      </c>
      <c r="C292" s="1" t="n">
        <v>46201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59465-2025</t>
        </is>
      </c>
      <c r="B293" s="1" t="n">
        <v>45989</v>
      </c>
      <c r="C293" s="1" t="n">
        <v>46201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59448-2025</t>
        </is>
      </c>
      <c r="B294" s="1" t="n">
        <v>45989</v>
      </c>
      <c r="C294" s="1" t="n">
        <v>46201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59460-2025</t>
        </is>
      </c>
      <c r="B295" s="1" t="n">
        <v>45989</v>
      </c>
      <c r="C295" s="1" t="n">
        <v>46201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59440-2025</t>
        </is>
      </c>
      <c r="B296" s="1" t="n">
        <v>45989</v>
      </c>
      <c r="C296" s="1" t="n">
        <v>46201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59443-2025</t>
        </is>
      </c>
      <c r="B297" s="1" t="n">
        <v>45989</v>
      </c>
      <c r="C297" s="1" t="n">
        <v>46201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59457-2025</t>
        </is>
      </c>
      <c r="B298" s="1" t="n">
        <v>45989</v>
      </c>
      <c r="C298" s="1" t="n">
        <v>46201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29375-2023</t>
        </is>
      </c>
      <c r="B299" s="1" t="n">
        <v>45098</v>
      </c>
      <c r="C299" s="1" t="n">
        <v>46201</v>
      </c>
      <c r="D299" t="inlineStr">
        <is>
          <t>VÄSTERBOTTENS LÄN</t>
        </is>
      </c>
      <c r="E299" t="inlineStr">
        <is>
          <t>MALÅ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26892-2022</t>
        </is>
      </c>
      <c r="B300" s="1" t="n">
        <v>44740</v>
      </c>
      <c r="C300" s="1" t="n">
        <v>46201</v>
      </c>
      <c r="D300" t="inlineStr">
        <is>
          <t>VÄSTERBOTTENS LÄN</t>
        </is>
      </c>
      <c r="E300" t="inlineStr">
        <is>
          <t>MALÅ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60786-2025</t>
        </is>
      </c>
      <c r="B301" s="1" t="n">
        <v>45999</v>
      </c>
      <c r="C301" s="1" t="n">
        <v>46201</v>
      </c>
      <c r="D301" t="inlineStr">
        <is>
          <t>VÄSTERBOTTENS LÄN</t>
        </is>
      </c>
      <c r="E301" t="inlineStr">
        <is>
          <t>MALÅ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54198-2025</t>
        </is>
      </c>
      <c r="B302" s="1" t="n">
        <v>45964</v>
      </c>
      <c r="C302" s="1" t="n">
        <v>46201</v>
      </c>
      <c r="D302" t="inlineStr">
        <is>
          <t>VÄSTERBOTTENS LÄN</t>
        </is>
      </c>
      <c r="E302" t="inlineStr">
        <is>
          <t>MALÅ</t>
        </is>
      </c>
      <c r="G302" t="n">
        <v>19.5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61480-2025</t>
        </is>
      </c>
      <c r="B303" s="1" t="n">
        <v>46001</v>
      </c>
      <c r="C303" s="1" t="n">
        <v>46201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61785-2025</t>
        </is>
      </c>
      <c r="B304" s="1" t="n">
        <v>46002</v>
      </c>
      <c r="C304" s="1" t="n">
        <v>46201</v>
      </c>
      <c r="D304" t="inlineStr">
        <is>
          <t>VÄSTERBOTTENS LÄN</t>
        </is>
      </c>
      <c r="E304" t="inlineStr">
        <is>
          <t>MALÅ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61844-2025</t>
        </is>
      </c>
      <c r="B305" s="1" t="n">
        <v>46003</v>
      </c>
      <c r="C305" s="1" t="n">
        <v>46201</v>
      </c>
      <c r="D305" t="inlineStr">
        <is>
          <t>VÄSTERBOTTENS LÄN</t>
        </is>
      </c>
      <c r="E305" t="inlineStr">
        <is>
          <t>MALÅ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51308-2023</t>
        </is>
      </c>
      <c r="B306" s="1" t="n">
        <v>45212</v>
      </c>
      <c r="C306" s="1" t="n">
        <v>46201</v>
      </c>
      <c r="D306" t="inlineStr">
        <is>
          <t>VÄSTERBOTTENS LÄN</t>
        </is>
      </c>
      <c r="E306" t="inlineStr">
        <is>
          <t>MALÅ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51723-2023</t>
        </is>
      </c>
      <c r="B307" s="1" t="n">
        <v>45222</v>
      </c>
      <c r="C307" s="1" t="n">
        <v>46201</v>
      </c>
      <c r="D307" t="inlineStr">
        <is>
          <t>VÄSTERBOTTENS LÄN</t>
        </is>
      </c>
      <c r="E307" t="inlineStr">
        <is>
          <t>MALÅ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2116-2023</t>
        </is>
      </c>
      <c r="B308" s="1" t="n">
        <v>44939</v>
      </c>
      <c r="C308" s="1" t="n">
        <v>46201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263-2026</t>
        </is>
      </c>
      <c r="B309" s="1" t="n">
        <v>46027</v>
      </c>
      <c r="C309" s="1" t="n">
        <v>46201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278-2026</t>
        </is>
      </c>
      <c r="B310" s="1" t="n">
        <v>46027</v>
      </c>
      <c r="C310" s="1" t="n">
        <v>46201</v>
      </c>
      <c r="D310" t="inlineStr">
        <is>
          <t>VÄSTERBOTTENS LÄN</t>
        </is>
      </c>
      <c r="E310" t="inlineStr">
        <is>
          <t>MALÅ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1207-2026</t>
        </is>
      </c>
      <c r="B311" s="1" t="n">
        <v>46031</v>
      </c>
      <c r="C311" s="1" t="n">
        <v>46201</v>
      </c>
      <c r="D311" t="inlineStr">
        <is>
          <t>VÄSTERBOTTENS LÄN</t>
        </is>
      </c>
      <c r="E311" t="inlineStr">
        <is>
          <t>MALÅ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1272-2026</t>
        </is>
      </c>
      <c r="B312" s="1" t="n">
        <v>46031</v>
      </c>
      <c r="C312" s="1" t="n">
        <v>46201</v>
      </c>
      <c r="D312" t="inlineStr">
        <is>
          <t>VÄSTERBOTTENS LÄN</t>
        </is>
      </c>
      <c r="E312" t="inlineStr">
        <is>
          <t>MALÅ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1246-2026</t>
        </is>
      </c>
      <c r="B313" s="1" t="n">
        <v>46031</v>
      </c>
      <c r="C313" s="1" t="n">
        <v>46201</v>
      </c>
      <c r="D313" t="inlineStr">
        <is>
          <t>VÄSTERBOTTENS LÄN</t>
        </is>
      </c>
      <c r="E313" t="inlineStr">
        <is>
          <t>MALÅ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1325-2026</t>
        </is>
      </c>
      <c r="B314" s="1" t="n">
        <v>46031</v>
      </c>
      <c r="C314" s="1" t="n">
        <v>46201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1900-2026</t>
        </is>
      </c>
      <c r="B315" s="1" t="n">
        <v>46035</v>
      </c>
      <c r="C315" s="1" t="n">
        <v>46201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3471-2026</t>
        </is>
      </c>
      <c r="B316" s="1" t="n">
        <v>46042</v>
      </c>
      <c r="C316" s="1" t="n">
        <v>46201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8757-2026</t>
        </is>
      </c>
      <c r="B317" s="1" t="n">
        <v>46066</v>
      </c>
      <c r="C317" s="1" t="n">
        <v>46201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8648-2026</t>
        </is>
      </c>
      <c r="B318" s="1" t="n">
        <v>46066</v>
      </c>
      <c r="C318" s="1" t="n">
        <v>46201</v>
      </c>
      <c r="D318" t="inlineStr">
        <is>
          <t>VÄSTERBOTTENS LÄN</t>
        </is>
      </c>
      <c r="E318" t="inlineStr">
        <is>
          <t>MALÅ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9311-2026</t>
        </is>
      </c>
      <c r="B319" s="1" t="n">
        <v>46070</v>
      </c>
      <c r="C319" s="1" t="n">
        <v>46201</v>
      </c>
      <c r="D319" t="inlineStr">
        <is>
          <t>VÄSTERBOTTENS LÄN</t>
        </is>
      </c>
      <c r="E319" t="inlineStr">
        <is>
          <t>MALÅ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9748-2026</t>
        </is>
      </c>
      <c r="B320" s="1" t="n">
        <v>46072</v>
      </c>
      <c r="C320" s="1" t="n">
        <v>46201</v>
      </c>
      <c r="D320" t="inlineStr">
        <is>
          <t>VÄSTERBOTTENS LÄN</t>
        </is>
      </c>
      <c r="E320" t="inlineStr">
        <is>
          <t>MALÅ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11704-2026</t>
        </is>
      </c>
      <c r="B321" s="1" t="n">
        <v>46084</v>
      </c>
      <c r="C321" s="1" t="n">
        <v>46201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13773-2026</t>
        </is>
      </c>
      <c r="B322" s="1" t="n">
        <v>46097</v>
      </c>
      <c r="C322" s="1" t="n">
        <v>46201</v>
      </c>
      <c r="D322" t="inlineStr">
        <is>
          <t>VÄSTERBOTTENS LÄN</t>
        </is>
      </c>
      <c r="E322" t="inlineStr">
        <is>
          <t>MALÅ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13775-2026</t>
        </is>
      </c>
      <c r="B323" s="1" t="n">
        <v>46097</v>
      </c>
      <c r="C323" s="1" t="n">
        <v>46201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15286-2026</t>
        </is>
      </c>
      <c r="B324" s="1" t="n">
        <v>46105</v>
      </c>
      <c r="C324" s="1" t="n">
        <v>46201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15306-2026</t>
        </is>
      </c>
      <c r="B325" s="1" t="n">
        <v>46105</v>
      </c>
      <c r="C325" s="1" t="n">
        <v>46201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17020-2026</t>
        </is>
      </c>
      <c r="B326" s="1" t="n">
        <v>46114</v>
      </c>
      <c r="C326" s="1" t="n">
        <v>46201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19.7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18478-2026</t>
        </is>
      </c>
      <c r="B327" s="1" t="n">
        <v>46127</v>
      </c>
      <c r="C327" s="1" t="n">
        <v>46201</v>
      </c>
      <c r="D327" t="inlineStr">
        <is>
          <t>VÄSTERBOTTENS LÄN</t>
        </is>
      </c>
      <c r="E327" t="inlineStr">
        <is>
          <t>MALÅ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18495-2026</t>
        </is>
      </c>
      <c r="B328" s="1" t="n">
        <v>46127</v>
      </c>
      <c r="C328" s="1" t="n">
        <v>46201</v>
      </c>
      <c r="D328" t="inlineStr">
        <is>
          <t>VÄSTERBOTTENS LÄN</t>
        </is>
      </c>
      <c r="E328" t="inlineStr">
        <is>
          <t>MALÅ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19351-2026</t>
        </is>
      </c>
      <c r="B329" s="1" t="n">
        <v>46133</v>
      </c>
      <c r="C329" s="1" t="n">
        <v>46201</v>
      </c>
      <c r="D329" t="inlineStr">
        <is>
          <t>VÄSTERBOTTENS LÄN</t>
        </is>
      </c>
      <c r="E329" t="inlineStr">
        <is>
          <t>MALÅ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19286-2026</t>
        </is>
      </c>
      <c r="B330" s="1" t="n">
        <v>46133</v>
      </c>
      <c r="C330" s="1" t="n">
        <v>46201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55.9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19290-2026</t>
        </is>
      </c>
      <c r="B331" s="1" t="n">
        <v>46133</v>
      </c>
      <c r="C331" s="1" t="n">
        <v>46201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19349-2026</t>
        </is>
      </c>
      <c r="B332" s="1" t="n">
        <v>46133</v>
      </c>
      <c r="C332" s="1" t="n">
        <v>46201</v>
      </c>
      <c r="D332" t="inlineStr">
        <is>
          <t>VÄSTERBOTTENS LÄN</t>
        </is>
      </c>
      <c r="E332" t="inlineStr">
        <is>
          <t>MALÅ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59463-2025</t>
        </is>
      </c>
      <c r="B333" s="1" t="n">
        <v>45989</v>
      </c>
      <c r="C333" s="1" t="n">
        <v>46201</v>
      </c>
      <c r="D333" t="inlineStr">
        <is>
          <t>VÄSTERBOTTENS LÄN</t>
        </is>
      </c>
      <c r="E333" t="inlineStr">
        <is>
          <t>MALÅ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26571-2026</t>
        </is>
      </c>
      <c r="B334" s="1" t="n">
        <v>46183</v>
      </c>
      <c r="C334" s="1" t="n">
        <v>46201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9191-2025</t>
        </is>
      </c>
      <c r="B335" s="1" t="n">
        <v>45714</v>
      </c>
      <c r="C335" s="1" t="n">
        <v>46201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26998-2026</t>
        </is>
      </c>
      <c r="B336" s="1" t="n">
        <v>46185</v>
      </c>
      <c r="C336" s="1" t="n">
        <v>46201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27468-2026</t>
        </is>
      </c>
      <c r="B337" s="1" t="n">
        <v>46189</v>
      </c>
      <c r="C337" s="1" t="n">
        <v>46201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27494-2026</t>
        </is>
      </c>
      <c r="B338" s="1" t="n">
        <v>46189</v>
      </c>
      <c r="C338" s="1" t="n">
        <v>46201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27487-2026</t>
        </is>
      </c>
      <c r="B339" s="1" t="n">
        <v>46189</v>
      </c>
      <c r="C339" s="1" t="n">
        <v>46201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44805-2025</t>
        </is>
      </c>
      <c r="B340" s="1" t="n">
        <v>45918</v>
      </c>
      <c r="C340" s="1" t="n">
        <v>46201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27466-2026</t>
        </is>
      </c>
      <c r="B341" s="1" t="n">
        <v>46189</v>
      </c>
      <c r="C341" s="1" t="n">
        <v>46201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27474-2026</t>
        </is>
      </c>
      <c r="B342" s="1" t="n">
        <v>46189</v>
      </c>
      <c r="C342" s="1" t="n">
        <v>46201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27490-2026</t>
        </is>
      </c>
      <c r="B343" s="1" t="n">
        <v>46189</v>
      </c>
      <c r="C343" s="1" t="n">
        <v>46201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55671-2023</t>
        </is>
      </c>
      <c r="B344" s="1" t="n">
        <v>45238</v>
      </c>
      <c r="C344" s="1" t="n">
        <v>46201</v>
      </c>
      <c r="D344" t="inlineStr">
        <is>
          <t>VÄSTERBOTTENS LÄN</t>
        </is>
      </c>
      <c r="E344" t="inlineStr">
        <is>
          <t>MALÅ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22308-2026</t>
        </is>
      </c>
      <c r="B345" s="1" t="n">
        <v>46154</v>
      </c>
      <c r="C345" s="1" t="n">
        <v>46201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9947-2025</t>
        </is>
      </c>
      <c r="B346" s="1" t="n">
        <v>45719</v>
      </c>
      <c r="C346" s="1" t="n">
        <v>46201</v>
      </c>
      <c r="D346" t="inlineStr">
        <is>
          <t>VÄSTERBOTTENS LÄN</t>
        </is>
      </c>
      <c r="E346" t="inlineStr">
        <is>
          <t>MALÅ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28803-2026</t>
        </is>
      </c>
      <c r="B347" s="1" t="n">
        <v>46198</v>
      </c>
      <c r="C347" s="1" t="n">
        <v>46201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2026-06-28T00:55:13Z</dcterms:created>
  <dcterms:modified xmlns:dcterms="http://purl.org/dc/terms/" xmlns:xsi="http://www.w3.org/2001/XMLSchema-instance" xsi:type="dcterms:W3CDTF">2026-06-28T00:55:13Z</dcterms:modified>
</cp:coreProperties>
</file>