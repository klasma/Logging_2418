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42818-2026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46309</v>
      </c>
      <c r="E3" s="1" t="n">
        <v>46313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19.8</v>
      </c>
      <c r="J3" t="n">
        <v>1</v>
      </c>
      <c r="K3" t="n">
        <v>0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4</v>
      </c>
      <c r="U3" t="n">
        <v>2</v>
      </c>
      <c r="V3" s="2" t="inlineStr">
        <is>
          <t>Garnlav
Gränsticka
Kolflarnlav
Fjällummer × plattlummer</t>
        </is>
      </c>
      <c r="W3">
        <f>HYPERLINK("https://klasma.github.io/Logging_2418/artfynd/A 42818-2026 artfynd.xlsx", "A 42818-2026")</f>
        <v/>
      </c>
      <c r="X3">
        <f>HYPERLINK("https://klasma.github.io/Logging_2418/kartor/A 42818-2026 karta.png", "A 42818-2026")</f>
        <v/>
      </c>
      <c r="Y3">
        <f>HYPERLINK("https://klasma.github.io/Logging_2418/kartor_geotiff/A 42818-2026 georefererad karta.tif", "A 42818-2026")</f>
        <v/>
      </c>
      <c r="AA3">
        <f>HYPERLINK("https://klasma.github.io/Logging_2418/klagomål/A 42818-2026 FSC-klagomål.docx", "A 42818-2026")</f>
        <v/>
      </c>
      <c r="AB3">
        <f>HYPERLINK("https://klasma.github.io/Logging_2418/klagomålsmail/A 42818-2026 FSC-klagomål mail.docx", "A 42818-2026")</f>
        <v/>
      </c>
      <c r="AC3">
        <f>HYPERLINK("https://klasma.github.io/Logging_2418/tillsyn/A 42818-2026 tillsynsbegäran.docx", "A 42818-2026")</f>
        <v/>
      </c>
      <c r="AD3">
        <f>HYPERLINK("https://klasma.github.io/Logging_2418/tillsynsmail/A 42818-2026 tillsynsbegäran mail.docx", "A 42818-2026")</f>
        <v/>
      </c>
    </row>
    <row r="4" ht="15" customHeight="1">
      <c r="A4" t="inlineStr">
        <is>
          <t>A 39692-2024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45552</v>
      </c>
      <c r="E4" s="1" t="n">
        <v>46313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15.8</v>
      </c>
      <c r="J4" t="n">
        <v>1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 taggsvamp
Orange taggsvamp
Skarp dropptaggsvamp
Plattlummer</t>
        </is>
      </c>
      <c r="W4">
        <f>HYPERLINK("https://klasma.github.io/Logging_2418/artfynd/A 39692-2024 artfynd.xlsx", "A 39692-2024")</f>
        <v/>
      </c>
      <c r="X4">
        <f>HYPERLINK("https://klasma.github.io/Logging_2418/kartor/A 39692-2024 karta.png", "A 39692-2024")</f>
        <v/>
      </c>
      <c r="Y4">
        <f>HYPERLINK("https://klasma.github.io/Logging_2418/kartor_geotiff/A 39692-2024 georefererad karta.tif", "A 39692-2024")</f>
        <v/>
      </c>
      <c r="AA4">
        <f>HYPERLINK("https://klasma.github.io/Logging_2418/klagomål/A 39692-2024 FSC-klagomål.docx", "A 39692-2024")</f>
        <v/>
      </c>
      <c r="AB4">
        <f>HYPERLINK("https://klasma.github.io/Logging_2418/klagomålsmail/A 39692-2024 FSC-klagomål mail.docx", "A 39692-2024")</f>
        <v/>
      </c>
      <c r="AC4">
        <f>HYPERLINK("https://klasma.github.io/Logging_2418/tillsyn/A 39692-2024 tillsynsbegäran.docx", "A 39692-2024")</f>
        <v/>
      </c>
      <c r="AD4">
        <f>HYPERLINK("https://klasma.github.io/Logging_2418/tillsynsmail/A 39692-2024 tillsynsbegäran mail.docx", "A 39692-2024")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46313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46313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46313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46313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46026-2022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46313</v>
      </c>
      <c r="F15" t="inlineStr">
        <is>
          <t>VÄSTERBOTTENS LÄN</t>
        </is>
      </c>
      <c r="G15" t="inlineStr">
        <is>
          <t>MALÅ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46313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46313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46313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46313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46313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46313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46313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46313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46313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46313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46313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46313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46313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46313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46313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46313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46313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46313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45195</v>
      </c>
      <c r="E34" s="1" t="n">
        <v>46313</v>
      </c>
      <c r="F34" t="inlineStr">
        <is>
          <t>VÄSTERBOTTENS LÄN</t>
        </is>
      </c>
      <c r="G34" t="inlineStr">
        <is>
          <t>MALÅ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46313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46313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46313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46313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46313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46313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46313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46313</v>
      </c>
      <c r="F42" t="inlineStr">
        <is>
          <t>VÄSTERBOTTENS LÄN</t>
        </is>
      </c>
      <c r="G42" t="inlineStr">
        <is>
          <t>MALÅ</t>
        </is>
      </c>
      <c r="H42" t="inlineStr">
        <is>
          <t>Kyrkan</t>
        </is>
      </c>
      <c r="I42" t="n">
        <v>27.3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46313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46313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46313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46313</v>
      </c>
      <c r="F46" t="inlineStr">
        <is>
          <t>VÄSTERBOTTENS LÄN</t>
        </is>
      </c>
      <c r="G46" t="inlineStr">
        <is>
          <t>MALÅ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45022</v>
      </c>
      <c r="E47" s="1" t="n">
        <v>46313</v>
      </c>
      <c r="F47" t="inlineStr">
        <is>
          <t>VÄSTERBOTTENS LÄN</t>
        </is>
      </c>
      <c r="G47" t="inlineStr">
        <is>
          <t>MALÅ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46313</v>
      </c>
      <c r="F48" t="inlineStr">
        <is>
          <t>VÄSTERBOTTENS LÄN</t>
        </is>
      </c>
      <c r="G48" t="inlineStr">
        <is>
          <t>MALÅ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53068-2023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45227</v>
      </c>
      <c r="E49" s="1" t="n">
        <v>46313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46313</v>
      </c>
      <c r="F50" t="inlineStr">
        <is>
          <t>VÄSTERBOTTENS LÄN</t>
        </is>
      </c>
      <c r="G50" t="inlineStr">
        <is>
          <t>MALÅ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45179</v>
      </c>
      <c r="E51" s="1" t="n">
        <v>46313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46313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46313</v>
      </c>
      <c r="F53" t="inlineStr">
        <is>
          <t>VÄSTERBOTTENS LÄN</t>
        </is>
      </c>
      <c r="G53" t="inlineStr">
        <is>
          <t>MALÅ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13001-2023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46313</v>
      </c>
      <c r="F54" t="inlineStr">
        <is>
          <t>VÄSTERBOTTENS LÄN</t>
        </is>
      </c>
      <c r="G54" t="inlineStr">
        <is>
          <t>MALÅ</t>
        </is>
      </c>
      <c r="H54" t="inlineStr">
        <is>
          <t>SCA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44426-2023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45188</v>
      </c>
      <c r="E55" s="1" t="n">
        <v>46313</v>
      </c>
      <c r="F55" t="inlineStr">
        <is>
          <t>VÄSTERBOTTENS LÄN</t>
        </is>
      </c>
      <c r="G55" t="inlineStr">
        <is>
          <t>MALÅ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58240-2022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46313</v>
      </c>
      <c r="F56" t="inlineStr">
        <is>
          <t>VÄSTERBOTTENS LÄN</t>
        </is>
      </c>
      <c r="G56" t="inlineStr">
        <is>
          <t>MALÅ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45178</v>
      </c>
      <c r="E57" s="1" t="n">
        <v>46313</v>
      </c>
      <c r="F57" t="inlineStr">
        <is>
          <t>VÄSTERBOTTENS LÄN</t>
        </is>
      </c>
      <c r="G57" t="inlineStr">
        <is>
          <t>MALÅ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46313</v>
      </c>
      <c r="F58" t="inlineStr">
        <is>
          <t>VÄSTERBOTTENS LÄN</t>
        </is>
      </c>
      <c r="G58" t="inlineStr">
        <is>
          <t>MALÅ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46313</v>
      </c>
      <c r="F59" t="inlineStr">
        <is>
          <t>VÄSTERBOTTENS LÄN</t>
        </is>
      </c>
      <c r="G59" t="inlineStr">
        <is>
          <t>MALÅ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46313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45645</v>
      </c>
      <c r="E61" s="1" t="n">
        <v>46313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56997-2023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46313</v>
      </c>
      <c r="F62" t="inlineStr">
        <is>
          <t>VÄSTERBOTTENS LÄN</t>
        </is>
      </c>
      <c r="G62" t="inlineStr">
        <is>
          <t>MALÅ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46313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46313</v>
      </c>
      <c r="F64" t="inlineStr">
        <is>
          <t>VÄSTERBOTTENS LÄN</t>
        </is>
      </c>
      <c r="G64" t="inlineStr">
        <is>
          <t>MALÅ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46313</v>
      </c>
      <c r="F65" t="inlineStr">
        <is>
          <t>VÄSTERBOTTENS LÄN</t>
        </is>
      </c>
      <c r="G65" t="inlineStr">
        <is>
          <t>MALÅ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46313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46313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46313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46313</v>
      </c>
      <c r="F69" t="inlineStr">
        <is>
          <t>VÄSTERBOTTENS LÄN</t>
        </is>
      </c>
      <c r="G69" t="inlineStr">
        <is>
          <t>MALÅ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46313</v>
      </c>
      <c r="F70" t="inlineStr">
        <is>
          <t>VÄSTERBOTTENS LÄN</t>
        </is>
      </c>
      <c r="G70" t="inlineStr">
        <is>
          <t>MALÅ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46313</v>
      </c>
      <c r="F71" t="inlineStr">
        <is>
          <t>VÄSTERBOTTENS LÄN</t>
        </is>
      </c>
      <c r="G71" t="inlineStr">
        <is>
          <t>MALÅ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46313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46313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46313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46313</v>
      </c>
      <c r="F75" t="inlineStr">
        <is>
          <t>VÄSTERBOTTENS LÄN</t>
        </is>
      </c>
      <c r="G75" t="inlineStr">
        <is>
          <t>MALÅ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46313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46313</v>
      </c>
      <c r="F77" t="inlineStr">
        <is>
          <t>VÄSTERBOTTENS LÄN</t>
        </is>
      </c>
      <c r="G77" t="inlineStr">
        <is>
          <t>MALÅ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46313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46313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46313</v>
      </c>
      <c r="F80" t="inlineStr">
        <is>
          <t>VÄSTERBOTTENS LÄN</t>
        </is>
      </c>
      <c r="G80" t="inlineStr">
        <is>
          <t>MALÅ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46313</v>
      </c>
      <c r="F81" t="inlineStr">
        <is>
          <t>VÄSTERBOTTENS LÄN</t>
        </is>
      </c>
      <c r="G81" t="inlineStr">
        <is>
          <t>MALÅ</t>
        </is>
      </c>
      <c r="I81" t="n">
        <v>41.7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46313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46313</v>
      </c>
      <c r="F83" t="inlineStr">
        <is>
          <t>VÄSTERBOTTENS LÄN</t>
        </is>
      </c>
      <c r="G83" t="inlineStr">
        <is>
          <t>MALÅ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46313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46313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45502</v>
      </c>
      <c r="E86" s="1" t="n">
        <v>46313</v>
      </c>
      <c r="F86" t="inlineStr">
        <is>
          <t>VÄSTERBOTTENS LÄN</t>
        </is>
      </c>
      <c r="G86" t="inlineStr">
        <is>
          <t>MALÅ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46313</v>
      </c>
      <c r="F87" t="inlineStr">
        <is>
          <t>VÄSTERBOTTENS LÄN</t>
        </is>
      </c>
      <c r="G87" t="inlineStr">
        <is>
          <t>MALÅ</t>
        </is>
      </c>
      <c r="I87" t="n">
        <v>8.9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45178</v>
      </c>
      <c r="E88" s="1" t="n">
        <v>46313</v>
      </c>
      <c r="F88" t="inlineStr">
        <is>
          <t>VÄSTERBOTTENS LÄN</t>
        </is>
      </c>
      <c r="G88" t="inlineStr">
        <is>
          <t>MALÅ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46313</v>
      </c>
      <c r="F89" t="inlineStr">
        <is>
          <t>VÄSTERBOTTENS LÄN</t>
        </is>
      </c>
      <c r="G89" t="inlineStr">
        <is>
          <t>MALÅ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46313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46313</v>
      </c>
      <c r="F91" t="inlineStr">
        <is>
          <t>VÄSTERBOTTENS LÄN</t>
        </is>
      </c>
      <c r="G91" t="inlineStr">
        <is>
          <t>MALÅ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46313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46313</v>
      </c>
      <c r="F93" t="inlineStr">
        <is>
          <t>VÄSTERBOTTENS LÄN</t>
        </is>
      </c>
      <c r="G93" t="inlineStr">
        <is>
          <t>MALÅ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45148</v>
      </c>
      <c r="E94" s="1" t="n">
        <v>46313</v>
      </c>
      <c r="F94" t="inlineStr">
        <is>
          <t>VÄSTERBOTTENS LÄN</t>
        </is>
      </c>
      <c r="G94" t="inlineStr">
        <is>
          <t>MALÅ</t>
        </is>
      </c>
      <c r="I94" t="n">
        <v>16.2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40943-2025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45897</v>
      </c>
      <c r="E95" s="1" t="n">
        <v>46313</v>
      </c>
      <c r="F95" t="inlineStr">
        <is>
          <t>VÄSTERBOTTENS LÄN</t>
        </is>
      </c>
      <c r="G95" t="inlineStr">
        <is>
          <t>MALÅ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46313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22.4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46313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46313</v>
      </c>
      <c r="F98" t="inlineStr">
        <is>
          <t>VÄSTERBOTTENS LÄN</t>
        </is>
      </c>
      <c r="G98" t="inlineStr">
        <is>
          <t>MALÅ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46313</v>
      </c>
      <c r="F99" t="inlineStr">
        <is>
          <t>VÄSTERBOTTENS LÄN</t>
        </is>
      </c>
      <c r="G99" t="inlineStr">
        <is>
          <t>MALÅ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46313</v>
      </c>
      <c r="F100" t="inlineStr">
        <is>
          <t>VÄSTERBOTTENS LÄN</t>
        </is>
      </c>
      <c r="G100" t="inlineStr">
        <is>
          <t>MALÅ</t>
        </is>
      </c>
      <c r="H100" t="inlineStr">
        <is>
          <t>Kyrkan</t>
        </is>
      </c>
      <c r="I100" t="n">
        <v>84.5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46313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18.7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46313</v>
      </c>
      <c r="F102" t="inlineStr">
        <is>
          <t>VÄSTERBOTTENS LÄN</t>
        </is>
      </c>
      <c r="G102" t="inlineStr">
        <is>
          <t>MALÅ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46313</v>
      </c>
      <c r="F103" t="inlineStr">
        <is>
          <t>VÄSTERBOTTENS LÄN</t>
        </is>
      </c>
      <c r="G103" t="inlineStr">
        <is>
          <t>MALÅ</t>
        </is>
      </c>
      <c r="I103" t="n">
        <v>73.7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46313</v>
      </c>
      <c r="F104" t="inlineStr">
        <is>
          <t>VÄSTERBOTTENS LÄN</t>
        </is>
      </c>
      <c r="G104" t="inlineStr">
        <is>
          <t>MALÅ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46313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46313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18.2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46313</v>
      </c>
      <c r="F107" t="inlineStr">
        <is>
          <t>VÄSTERBOTTENS LÄN</t>
        </is>
      </c>
      <c r="G107" t="inlineStr">
        <is>
          <t>MALÅ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46313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46313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46313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46313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46313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46313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46313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46313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46313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46313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46313</v>
      </c>
      <c r="F118" t="inlineStr">
        <is>
          <t>VÄSTERBOTTENS LÄN</t>
        </is>
      </c>
      <c r="G118" t="inlineStr">
        <is>
          <t>MALÅ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46313</v>
      </c>
      <c r="F119" t="inlineStr">
        <is>
          <t>VÄSTERBOTTENS LÄN</t>
        </is>
      </c>
      <c r="G119" t="inlineStr">
        <is>
          <t>MALÅ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46313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46313</v>
      </c>
      <c r="F121" t="inlineStr">
        <is>
          <t>VÄSTERBOTTENS LÄN</t>
        </is>
      </c>
      <c r="G121" t="inlineStr">
        <is>
          <t>MALÅ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46313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46313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46313</v>
      </c>
      <c r="F124" t="inlineStr">
        <is>
          <t>VÄSTERBOTTENS LÄN</t>
        </is>
      </c>
      <c r="G124" t="inlineStr">
        <is>
          <t>MALÅ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46313</v>
      </c>
      <c r="F125" t="inlineStr">
        <is>
          <t>VÄSTERBOTTENS LÄN</t>
        </is>
      </c>
      <c r="G125" t="inlineStr">
        <is>
          <t>MALÅ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46313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46313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46313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46313</v>
      </c>
      <c r="F129" t="inlineStr">
        <is>
          <t>VÄSTERBOTTENS LÄN</t>
        </is>
      </c>
      <c r="G129" t="inlineStr">
        <is>
          <t>MALÅ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46313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46313</v>
      </c>
      <c r="F131" t="inlineStr">
        <is>
          <t>VÄSTERBOTTENS LÄN</t>
        </is>
      </c>
      <c r="G131" t="inlineStr">
        <is>
          <t>MALÅ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46313</v>
      </c>
      <c r="F132" t="inlineStr">
        <is>
          <t>VÄSTERBOTTENS LÄN</t>
        </is>
      </c>
      <c r="G132" t="inlineStr">
        <is>
          <t>MALÅ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46313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46313</v>
      </c>
      <c r="F134" t="inlineStr">
        <is>
          <t>VÄSTERBOTTENS LÄN</t>
        </is>
      </c>
      <c r="G134" t="inlineStr">
        <is>
          <t>MALÅ</t>
        </is>
      </c>
      <c r="I134" t="n">
        <v>147.1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46313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46313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46313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46313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54455-2025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46313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46313</v>
      </c>
      <c r="F140" t="inlineStr">
        <is>
          <t>VÄSTERBOTTENS LÄN</t>
        </is>
      </c>
      <c r="G140" t="inlineStr">
        <is>
          <t>MALÅ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46313</v>
      </c>
      <c r="F141" t="inlineStr">
        <is>
          <t>VÄSTERBOTTENS LÄN</t>
        </is>
      </c>
      <c r="G141" t="inlineStr">
        <is>
          <t>MALÅ</t>
        </is>
      </c>
      <c r="I141" t="n">
        <v>15.7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46313</v>
      </c>
      <c r="F142" t="inlineStr">
        <is>
          <t>VÄSTERBOTTENS LÄN</t>
        </is>
      </c>
      <c r="G142" t="inlineStr">
        <is>
          <t>MALÅ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46313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46313</v>
      </c>
      <c r="F144" t="inlineStr">
        <is>
          <t>VÄSTERBOTTENS LÄN</t>
        </is>
      </c>
      <c r="G144" t="inlineStr">
        <is>
          <t>MALÅ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46313</v>
      </c>
      <c r="F145" t="inlineStr">
        <is>
          <t>VÄSTERBOTTENS LÄN</t>
        </is>
      </c>
      <c r="G145" t="inlineStr">
        <is>
          <t>MALÅ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46313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46313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46313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46313</v>
      </c>
      <c r="F149" t="inlineStr">
        <is>
          <t>VÄSTERBOTTENS LÄN</t>
        </is>
      </c>
      <c r="G149" t="inlineStr">
        <is>
          <t>MALÅ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46313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46313</v>
      </c>
      <c r="F151" t="inlineStr">
        <is>
          <t>VÄSTERBOTTENS LÄN</t>
        </is>
      </c>
      <c r="G151" t="inlineStr">
        <is>
          <t>MALÅ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46313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46313</v>
      </c>
      <c r="F153" t="inlineStr">
        <is>
          <t>VÄSTERBOTTENS LÄN</t>
        </is>
      </c>
      <c r="G153" t="inlineStr">
        <is>
          <t>MALÅ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46313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46313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46313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46313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46313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46313</v>
      </c>
      <c r="F159" t="inlineStr">
        <is>
          <t>VÄSTERBOTTENS LÄN</t>
        </is>
      </c>
      <c r="G159" t="inlineStr">
        <is>
          <t>MALÅ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45175</v>
      </c>
      <c r="E160" s="1" t="n">
        <v>46313</v>
      </c>
      <c r="F160" t="inlineStr">
        <is>
          <t>VÄSTERBOTTENS LÄN</t>
        </is>
      </c>
      <c r="G160" t="inlineStr">
        <is>
          <t>MALÅ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46313</v>
      </c>
      <c r="F161" t="inlineStr">
        <is>
          <t>VÄSTERBOTTENS LÄN</t>
        </is>
      </c>
      <c r="G161" t="inlineStr">
        <is>
          <t>MALÅ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45193</v>
      </c>
      <c r="E162" s="1" t="n">
        <v>46313</v>
      </c>
      <c r="F162" t="inlineStr">
        <is>
          <t>VÄSTERBOTTENS LÄN</t>
        </is>
      </c>
      <c r="G162" t="inlineStr">
        <is>
          <t>MALÅ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46313</v>
      </c>
      <c r="F163" t="inlineStr">
        <is>
          <t>VÄSTERBOTTENS LÄN</t>
        </is>
      </c>
      <c r="G163" t="inlineStr">
        <is>
          <t>MALÅ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46313</v>
      </c>
      <c r="F164" t="inlineStr">
        <is>
          <t>VÄSTERBOTTENS LÄN</t>
        </is>
      </c>
      <c r="G164" t="inlineStr">
        <is>
          <t>MALÅ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46313</v>
      </c>
      <c r="F165" t="inlineStr">
        <is>
          <t>VÄSTERBOTTENS LÄN</t>
        </is>
      </c>
      <c r="G165" t="inlineStr">
        <is>
          <t>MALÅ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46313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46313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46313</v>
      </c>
      <c r="F168" t="inlineStr">
        <is>
          <t>VÄSTERBOTTENS LÄN</t>
        </is>
      </c>
      <c r="G168" t="inlineStr">
        <is>
          <t>MALÅ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46313</v>
      </c>
      <c r="F169" t="inlineStr">
        <is>
          <t>VÄSTERBOTTENS LÄN</t>
        </is>
      </c>
      <c r="G169" t="inlineStr">
        <is>
          <t>MALÅ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46313</v>
      </c>
      <c r="F170" t="inlineStr">
        <is>
          <t>VÄSTERBOTTENS LÄN</t>
        </is>
      </c>
      <c r="G170" t="inlineStr">
        <is>
          <t>MALÅ</t>
        </is>
      </c>
      <c r="I170" t="n">
        <v>26.3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46313</v>
      </c>
      <c r="F171" t="inlineStr">
        <is>
          <t>VÄSTERBOTTENS LÄN</t>
        </is>
      </c>
      <c r="G171" t="inlineStr">
        <is>
          <t>MALÅ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46313</v>
      </c>
      <c r="F172" t="inlineStr">
        <is>
          <t>VÄSTERBOTTENS LÄN</t>
        </is>
      </c>
      <c r="G172" t="inlineStr">
        <is>
          <t>MALÅ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46313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46313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46313</v>
      </c>
      <c r="F175" t="inlineStr">
        <is>
          <t>VÄSTERBOTTENS LÄN</t>
        </is>
      </c>
      <c r="G175" t="inlineStr">
        <is>
          <t>MALÅ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45156</v>
      </c>
      <c r="E176" s="1" t="n">
        <v>46313</v>
      </c>
      <c r="F176" t="inlineStr">
        <is>
          <t>VÄSTERBOTTENS LÄN</t>
        </is>
      </c>
      <c r="G176" t="inlineStr">
        <is>
          <t>MALÅ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46313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46313</v>
      </c>
      <c r="F178" t="inlineStr">
        <is>
          <t>VÄSTERBOTTENS LÄN</t>
        </is>
      </c>
      <c r="G178" t="inlineStr">
        <is>
          <t>MALÅ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46313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45182</v>
      </c>
      <c r="E180" s="1" t="n">
        <v>46313</v>
      </c>
      <c r="F180" t="inlineStr">
        <is>
          <t>VÄSTERBOTTENS LÄN</t>
        </is>
      </c>
      <c r="G180" t="inlineStr">
        <is>
          <t>MALÅ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44939</v>
      </c>
      <c r="E181" s="1" t="n">
        <v>46313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44911</v>
      </c>
      <c r="E182" s="1" t="n">
        <v>46313</v>
      </c>
      <c r="F182" t="inlineStr">
        <is>
          <t>VÄSTERBOTTENS LÄN</t>
        </is>
      </c>
      <c r="G182" t="inlineStr">
        <is>
          <t>MALÅ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46313</v>
      </c>
      <c r="F183" t="inlineStr">
        <is>
          <t>VÄSTERBOTTENS LÄN</t>
        </is>
      </c>
      <c r="G183" t="inlineStr">
        <is>
          <t>MALÅ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46313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46313</v>
      </c>
      <c r="F185" t="inlineStr">
        <is>
          <t>VÄSTERBOTTENS LÄN</t>
        </is>
      </c>
      <c r="G185" t="inlineStr">
        <is>
          <t>MALÅ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46313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46313</v>
      </c>
      <c r="F187" t="inlineStr">
        <is>
          <t>VÄSTERBOTTENS LÄN</t>
        </is>
      </c>
      <c r="G187" t="inlineStr">
        <is>
          <t>MALÅ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46313</v>
      </c>
      <c r="F188" t="inlineStr">
        <is>
          <t>VÄSTERBOTTENS LÄN</t>
        </is>
      </c>
      <c r="G188" t="inlineStr">
        <is>
          <t>MALÅ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46313</v>
      </c>
      <c r="F189" t="inlineStr">
        <is>
          <t>VÄSTERBOTTENS LÄN</t>
        </is>
      </c>
      <c r="G189" t="inlineStr">
        <is>
          <t>MALÅ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46313</v>
      </c>
      <c r="F190" t="inlineStr">
        <is>
          <t>VÄSTERBOTTENS LÄN</t>
        </is>
      </c>
      <c r="G190" t="inlineStr">
        <is>
          <t>MALÅ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46313</v>
      </c>
      <c r="F191" t="inlineStr">
        <is>
          <t>VÄSTERBOTTENS LÄN</t>
        </is>
      </c>
      <c r="G191" t="inlineStr">
        <is>
          <t>MALÅ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46313</v>
      </c>
      <c r="F192" t="inlineStr">
        <is>
          <t>VÄSTERBOTTENS LÄN</t>
        </is>
      </c>
      <c r="G192" t="inlineStr">
        <is>
          <t>MALÅ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46313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46313</v>
      </c>
      <c r="F194" t="inlineStr">
        <is>
          <t>VÄSTERBOTTENS LÄN</t>
        </is>
      </c>
      <c r="G194" t="inlineStr">
        <is>
          <t>MALÅ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46313</v>
      </c>
      <c r="F195" t="inlineStr">
        <is>
          <t>VÄSTERBOTTENS LÄN</t>
        </is>
      </c>
      <c r="G195" t="inlineStr">
        <is>
          <t>MALÅ</t>
        </is>
      </c>
      <c r="I195" t="n">
        <v>13.3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46042</v>
      </c>
      <c r="E196" s="1" t="n">
        <v>46313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46313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46313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46313</v>
      </c>
      <c r="F199" t="inlineStr">
        <is>
          <t>VÄSTERBOTTENS LÄN</t>
        </is>
      </c>
      <c r="G199" t="inlineStr">
        <is>
          <t>MALÅ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46313</v>
      </c>
      <c r="F200" t="inlineStr">
        <is>
          <t>VÄSTERBOTTENS LÄN</t>
        </is>
      </c>
      <c r="G200" t="inlineStr">
        <is>
          <t>MALÅ</t>
        </is>
      </c>
      <c r="I200" t="n">
        <v>26.9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46313</v>
      </c>
      <c r="F201" t="inlineStr">
        <is>
          <t>VÄSTERBOTTENS LÄN</t>
        </is>
      </c>
      <c r="G201" t="inlineStr">
        <is>
          <t>MALÅ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46313</v>
      </c>
      <c r="F202" t="inlineStr">
        <is>
          <t>VÄSTERBOTTENS LÄN</t>
        </is>
      </c>
      <c r="G202" t="inlineStr">
        <is>
          <t>MALÅ</t>
        </is>
      </c>
      <c r="I202" t="n">
        <v>48.2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46313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46313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46313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32772-2024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45516</v>
      </c>
      <c r="E206" s="1" t="n">
        <v>46313</v>
      </c>
      <c r="F206" t="inlineStr">
        <is>
          <t>VÄSTERBOTTENS LÄN</t>
        </is>
      </c>
      <c r="G206" t="inlineStr">
        <is>
          <t>MALÅ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46313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8648-2026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46066</v>
      </c>
      <c r="E208" s="1" t="n">
        <v>46313</v>
      </c>
      <c r="F208" t="inlineStr">
        <is>
          <t>VÄSTERBOTTENS LÄN</t>
        </is>
      </c>
      <c r="G208" t="inlineStr">
        <is>
          <t>MALÅ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46313</v>
      </c>
      <c r="F209" t="inlineStr">
        <is>
          <t>VÄSTERBOTTENS LÄN</t>
        </is>
      </c>
      <c r="G209" t="inlineStr">
        <is>
          <t>MALÅ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46313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44641</v>
      </c>
      <c r="E211" s="1" t="n">
        <v>46313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46313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46313</v>
      </c>
      <c r="F213" t="inlineStr">
        <is>
          <t>VÄSTERBOTTENS LÄN</t>
        </is>
      </c>
      <c r="G213" t="inlineStr">
        <is>
          <t>MALÅ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46313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63.6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46313</v>
      </c>
      <c r="F215" t="inlineStr">
        <is>
          <t>VÄSTERBOTTENS LÄN</t>
        </is>
      </c>
      <c r="G215" t="inlineStr">
        <is>
          <t>MALÅ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46313</v>
      </c>
      <c r="F216" t="inlineStr">
        <is>
          <t>VÄSTERBOTTENS LÄN</t>
        </is>
      </c>
      <c r="G216" t="inlineStr">
        <is>
          <t>MALÅ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46313</v>
      </c>
      <c r="F217" t="inlineStr">
        <is>
          <t>VÄSTERBOTTENS LÄN</t>
        </is>
      </c>
      <c r="G217" t="inlineStr">
        <is>
          <t>MALÅ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46313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9.9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46313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46313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46313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46313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23.5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46313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46313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46313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46097</v>
      </c>
      <c r="E226" s="1" t="n">
        <v>46313</v>
      </c>
      <c r="F226" t="inlineStr">
        <is>
          <t>VÄSTERBOTTENS LÄN</t>
        </is>
      </c>
      <c r="G226" t="inlineStr">
        <is>
          <t>MALÅ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46097</v>
      </c>
      <c r="E227" s="1" t="n">
        <v>46313</v>
      </c>
      <c r="F227" t="inlineStr">
        <is>
          <t>VÄSTERBOTTENS LÄN</t>
        </is>
      </c>
      <c r="G227" t="inlineStr">
        <is>
          <t>MALÅ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46313</v>
      </c>
      <c r="F228" t="inlineStr">
        <is>
          <t>VÄSTERBOTTENS LÄN</t>
        </is>
      </c>
      <c r="G228" t="inlineStr">
        <is>
          <t>MALÅ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46313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45193</v>
      </c>
      <c r="E230" s="1" t="n">
        <v>46313</v>
      </c>
      <c r="F230" t="inlineStr">
        <is>
          <t>VÄSTERBOTTENS LÄN</t>
        </is>
      </c>
      <c r="G230" t="inlineStr">
        <is>
          <t>MALÅ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46313</v>
      </c>
      <c r="F231" t="inlineStr">
        <is>
          <t>VÄSTERBOTTENS LÄN</t>
        </is>
      </c>
      <c r="G231" t="inlineStr">
        <is>
          <t>MALÅ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46313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46313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46313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46313</v>
      </c>
      <c r="F235" t="inlineStr">
        <is>
          <t>VÄSTERBOTTENS LÄN</t>
        </is>
      </c>
      <c r="G235" t="inlineStr">
        <is>
          <t>MALÅ</t>
        </is>
      </c>
      <c r="I235" t="n">
        <v>41.2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46313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19.7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46313</v>
      </c>
      <c r="F237" t="inlineStr">
        <is>
          <t>VÄSTERBOTTENS LÄN</t>
        </is>
      </c>
      <c r="G237" t="inlineStr">
        <is>
          <t>MALÅ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46313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46313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46313</v>
      </c>
      <c r="F240" t="inlineStr">
        <is>
          <t>VÄSTERBOTTENS LÄN</t>
        </is>
      </c>
      <c r="G240" t="inlineStr">
        <is>
          <t>MALÅ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46313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46313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46313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46313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46313</v>
      </c>
      <c r="F245" t="inlineStr">
        <is>
          <t>VÄSTERBOTTENS LÄN</t>
        </is>
      </c>
      <c r="G245" t="inlineStr">
        <is>
          <t>MALÅ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46313</v>
      </c>
      <c r="F246" t="inlineStr">
        <is>
          <t>VÄSTERBOTTENS LÄN</t>
        </is>
      </c>
      <c r="G246" t="inlineStr">
        <is>
          <t>MALÅ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46313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46313</v>
      </c>
      <c r="F248" t="inlineStr">
        <is>
          <t>VÄSTERBOTTENS LÄN</t>
        </is>
      </c>
      <c r="G248" t="inlineStr">
        <is>
          <t>MALÅ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46313</v>
      </c>
      <c r="F249" t="inlineStr">
        <is>
          <t>VÄSTERBOTTENS LÄN</t>
        </is>
      </c>
      <c r="G249" t="inlineStr">
        <is>
          <t>MALÅ</t>
        </is>
      </c>
      <c r="I249" t="n">
        <v>63.5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46313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30502-2026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46210</v>
      </c>
      <c r="E251" s="1" t="n">
        <v>46313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46313</v>
      </c>
      <c r="F252" t="inlineStr">
        <is>
          <t>VÄSTERBOTTENS LÄN</t>
        </is>
      </c>
      <c r="G252" t="inlineStr">
        <is>
          <t>MALÅ</t>
        </is>
      </c>
      <c r="I252" t="n">
        <v>30.4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46313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46313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46313</v>
      </c>
      <c r="F255" t="inlineStr">
        <is>
          <t>VÄSTERBOTTENS LÄN</t>
        </is>
      </c>
      <c r="G255" t="inlineStr">
        <is>
          <t>MALÅ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46313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46313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46313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46313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46313</v>
      </c>
      <c r="F260" t="inlineStr">
        <is>
          <t>VÄSTERBOTTENS LÄN</t>
        </is>
      </c>
      <c r="G260" t="inlineStr">
        <is>
          <t>MALÅ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46313</v>
      </c>
      <c r="F261" t="inlineStr">
        <is>
          <t>VÄSTERBOTTENS LÄN</t>
        </is>
      </c>
      <c r="G261" t="inlineStr">
        <is>
          <t>MALÅ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26853-2026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46185</v>
      </c>
      <c r="E262" s="1" t="n">
        <v>46313</v>
      </c>
      <c r="F262" t="inlineStr">
        <is>
          <t>VÄSTERBOTTENS LÄN</t>
        </is>
      </c>
      <c r="G262" t="inlineStr">
        <is>
          <t>MALÅ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59866-2021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46313</v>
      </c>
      <c r="F263" t="inlineStr">
        <is>
          <t>VÄSTERBOTTENS LÄN</t>
        </is>
      </c>
      <c r="G263" t="inlineStr">
        <is>
          <t>MALÅ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46313</v>
      </c>
      <c r="F264" t="inlineStr">
        <is>
          <t>VÄSTERBOTTENS LÄN</t>
        </is>
      </c>
      <c r="G264" t="inlineStr">
        <is>
          <t>MALÅ</t>
        </is>
      </c>
      <c r="H264" t="inlineStr">
        <is>
          <t>SCA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46313</v>
      </c>
      <c r="F265" t="inlineStr">
        <is>
          <t>VÄSTERBOTTENS LÄN</t>
        </is>
      </c>
      <c r="G265" t="inlineStr">
        <is>
          <t>MALÅ</t>
        </is>
      </c>
      <c r="H265" t="inlineStr">
        <is>
          <t>SCA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46313</v>
      </c>
      <c r="F266" t="inlineStr">
        <is>
          <t>VÄSTERBOTTENS LÄN</t>
        </is>
      </c>
      <c r="G266" t="inlineStr">
        <is>
          <t>MALÅ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46313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46313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46313</v>
      </c>
      <c r="F269" t="inlineStr">
        <is>
          <t>VÄSTERBOTTENS LÄN</t>
        </is>
      </c>
      <c r="G269" t="inlineStr">
        <is>
          <t>MALÅ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46313</v>
      </c>
      <c r="F270" t="inlineStr">
        <is>
          <t>VÄSTERBOTTENS LÄN</t>
        </is>
      </c>
      <c r="G270" t="inlineStr">
        <is>
          <t>MALÅ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46313</v>
      </c>
      <c r="F271" t="inlineStr">
        <is>
          <t>VÄSTERBOTTENS LÄN</t>
        </is>
      </c>
      <c r="G271" t="inlineStr">
        <is>
          <t>MALÅ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46279</v>
      </c>
      <c r="E272" s="1" t="n">
        <v>46313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46313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46313</v>
      </c>
      <c r="F274" t="inlineStr">
        <is>
          <t>VÄSTERBOTTENS LÄN</t>
        </is>
      </c>
      <c r="G274" t="inlineStr">
        <is>
          <t>MALÅ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45223</v>
      </c>
      <c r="E275" s="1" t="n">
        <v>46313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46313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46313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45369</v>
      </c>
      <c r="E278" s="1" t="n">
        <v>46313</v>
      </c>
      <c r="F278" t="inlineStr">
        <is>
          <t>VÄSTERBOTTENS LÄN</t>
        </is>
      </c>
      <c r="G278" t="inlineStr">
        <is>
          <t>MALÅ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46313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46313</v>
      </c>
      <c r="F280" t="inlineStr">
        <is>
          <t>VÄSTERBOTTENS LÄN</t>
        </is>
      </c>
      <c r="G280" t="inlineStr">
        <is>
          <t>MALÅ</t>
        </is>
      </c>
      <c r="I280" t="n">
        <v>17.5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46313</v>
      </c>
      <c r="F281" t="inlineStr">
        <is>
          <t>VÄSTERBOTTENS LÄN</t>
        </is>
      </c>
      <c r="G281" t="inlineStr">
        <is>
          <t>MALÅ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46313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46313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46313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46313</v>
      </c>
      <c r="F285" t="inlineStr">
        <is>
          <t>VÄSTERBOTTENS LÄN</t>
        </is>
      </c>
      <c r="G285" t="inlineStr">
        <is>
          <t>MALÅ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HYPERLINK("https://klasma.github.io/Logging_2418/knärot/A 41353-2023 karta knärot.png", "A 41353-2023")</f>
        <v/>
      </c>
      <c r="AA285">
        <f>HYPERLINK("https://klasma.github.io/Logging_2418/klagomål/A 41353-2023 FSC-klagomål.docx", "A 41353-2023")</f>
        <v/>
      </c>
      <c r="AB285">
        <f>HYPERLINK("https://klasma.github.io/Logging_2418/klagomålsmail/A 41353-2023 FSC-klagomål mail.docx", "A 41353-2023")</f>
        <v/>
      </c>
      <c r="AC285">
        <f>HYPERLINK("https://klasma.github.io/Logging_2418/tillsyn/A 41353-2023 tillsynsbegäran.docx", "A 41353-2023")</f>
        <v/>
      </c>
      <c r="AD285">
        <f>HYPERLINK("https://klasma.github.io/Logging_2418/tillsynsmail/A 41353-2023 tillsynsbegäran mail.docx", "A 41353-2023")</f>
        <v/>
      </c>
    </row>
    <row r="286" ht="15" customHeight="1">
      <c r="A286" t="inlineStr">
        <is>
          <t>A 48931-2023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46313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46313</v>
      </c>
      <c r="F287" t="inlineStr">
        <is>
          <t>VÄSTERBOTTENS LÄN</t>
        </is>
      </c>
      <c r="G287" t="inlineStr">
        <is>
          <t>MALÅ</t>
        </is>
      </c>
      <c r="H287" t="inlineStr">
        <is>
          <t>SCA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46313</v>
      </c>
      <c r="F288" t="inlineStr">
        <is>
          <t>VÄSTERBOTTENS LÄN</t>
        </is>
      </c>
      <c r="G288" t="inlineStr">
        <is>
          <t>MALÅ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46313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30.8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46313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49434-2023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45211</v>
      </c>
      <c r="E291" s="1" t="n">
        <v>46313</v>
      </c>
      <c r="F291" t="inlineStr">
        <is>
          <t>VÄSTERBOTTENS LÄN</t>
        </is>
      </c>
      <c r="G291" t="inlineStr">
        <is>
          <t>MALÅ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46289</v>
      </c>
      <c r="E292" s="1" t="n">
        <v>46313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46313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46313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46313</v>
      </c>
      <c r="F295" t="inlineStr">
        <is>
          <t>VÄSTERBOTTENS LÄN</t>
        </is>
      </c>
      <c r="G295" t="inlineStr">
        <is>
          <t>MALÅ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46313</v>
      </c>
      <c r="F296" t="inlineStr">
        <is>
          <t>VÄSTERBOTTENS LÄN</t>
        </is>
      </c>
      <c r="G296" t="inlineStr">
        <is>
          <t>MALÅ</t>
        </is>
      </c>
      <c r="I296" t="n">
        <v>27.9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46313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32767-2024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45516</v>
      </c>
      <c r="E298" s="1" t="n">
        <v>46313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46313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46313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46313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46313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46313</v>
      </c>
      <c r="F303" t="inlineStr">
        <is>
          <t>VÄSTERBOTTENS LÄN</t>
        </is>
      </c>
      <c r="G303" t="inlineStr">
        <is>
          <t>MALÅ</t>
        </is>
      </c>
      <c r="I303" t="n">
        <v>19.2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46313</v>
      </c>
      <c r="F304" t="inlineStr">
        <is>
          <t>VÄSTERBOTTENS LÄN</t>
        </is>
      </c>
      <c r="G304" t="inlineStr">
        <is>
          <t>MALÅ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46313</v>
      </c>
      <c r="F305" t="inlineStr">
        <is>
          <t>VÄSTERBOTTENS LÄN</t>
        </is>
      </c>
      <c r="G305" t="inlineStr">
        <is>
          <t>MALÅ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46313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46313</v>
      </c>
      <c r="F307" t="inlineStr">
        <is>
          <t>VÄSTERBOTTENS LÄN</t>
        </is>
      </c>
      <c r="G307" t="inlineStr">
        <is>
          <t>MALÅ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46313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46313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46313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46313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46313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46313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46313</v>
      </c>
      <c r="F314" t="inlineStr">
        <is>
          <t>VÄSTERBOTTENS LÄN</t>
        </is>
      </c>
      <c r="G314" t="inlineStr">
        <is>
          <t>MALÅ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46313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46313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46313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46313</v>
      </c>
      <c r="F318" t="inlineStr">
        <is>
          <t>VÄSTERBOTTENS LÄN</t>
        </is>
      </c>
      <c r="G318" t="inlineStr">
        <is>
          <t>MALÅ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46313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46313</v>
      </c>
      <c r="F320" t="inlineStr">
        <is>
          <t>VÄSTERBOTTENS LÄN</t>
        </is>
      </c>
      <c r="G320" t="inlineStr">
        <is>
          <t>MALÅ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46313</v>
      </c>
      <c r="F321" t="inlineStr">
        <is>
          <t>VÄSTERBOTTENS LÄN</t>
        </is>
      </c>
      <c r="G321" t="inlineStr">
        <is>
          <t>MALÅ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46260</v>
      </c>
      <c r="E322" s="1" t="n">
        <v>46313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46313</v>
      </c>
      <c r="F323" t="inlineStr">
        <is>
          <t>VÄSTERBOTTENS LÄN</t>
        </is>
      </c>
      <c r="G323" t="inlineStr">
        <is>
          <t>MALÅ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46313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57499-2022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44889</v>
      </c>
      <c r="E325" s="1" t="n">
        <v>46313</v>
      </c>
      <c r="F325" t="inlineStr">
        <is>
          <t>VÄSTERBOTTENS LÄN</t>
        </is>
      </c>
      <c r="G325" t="inlineStr">
        <is>
          <t>MALÅ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46313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46313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46313</v>
      </c>
      <c r="F328" t="inlineStr">
        <is>
          <t>VÄSTERBOTTENS LÄN</t>
        </is>
      </c>
      <c r="G328" t="inlineStr">
        <is>
          <t>MALÅ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59801-2021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44491</v>
      </c>
      <c r="E329" s="1" t="n">
        <v>46313</v>
      </c>
      <c r="F329" t="inlineStr">
        <is>
          <t>VÄSTERBOTTENS LÄN</t>
        </is>
      </c>
      <c r="G329" t="inlineStr">
        <is>
          <t>MALÅ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46313</v>
      </c>
      <c r="F330" t="inlineStr">
        <is>
          <t>VÄSTERBOTTENS LÄN</t>
        </is>
      </c>
      <c r="G330" t="inlineStr">
        <is>
          <t>MALÅ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46313</v>
      </c>
      <c r="F331" t="inlineStr">
        <is>
          <t>VÄSTERBOTTENS LÄN</t>
        </is>
      </c>
      <c r="G331" t="inlineStr">
        <is>
          <t>MALÅ</t>
        </is>
      </c>
      <c r="I331" t="n">
        <v>16.6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46313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46313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46313</v>
      </c>
      <c r="F334" t="inlineStr">
        <is>
          <t>VÄSTERBOTTENS LÄN</t>
        </is>
      </c>
      <c r="G334" t="inlineStr">
        <is>
          <t>MALÅ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46313</v>
      </c>
      <c r="F335" t="inlineStr">
        <is>
          <t>VÄSTERBOTTENS LÄN</t>
        </is>
      </c>
      <c r="G335" t="inlineStr">
        <is>
          <t>MALÅ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42675-2026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46309</v>
      </c>
      <c r="E336" s="1" t="n">
        <v>46313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46313</v>
      </c>
      <c r="F337" t="inlineStr">
        <is>
          <t>VÄSTERBOTTENS LÄN</t>
        </is>
      </c>
      <c r="G337" t="inlineStr">
        <is>
          <t>MALÅ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44740</v>
      </c>
      <c r="E338" s="1" t="n">
        <v>46313</v>
      </c>
      <c r="F338" t="inlineStr">
        <is>
          <t>VÄSTERBOTTENS LÄN</t>
        </is>
      </c>
      <c r="G338" t="inlineStr">
        <is>
          <t>MALÅ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46310</v>
      </c>
      <c r="E339" s="1" t="n">
        <v>46313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46313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46313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46313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46313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45861</v>
      </c>
      <c r="E344" s="1" t="n">
        <v>46313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46313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46313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46313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46313</v>
      </c>
      <c r="F348" t="inlineStr">
        <is>
          <t>VÄSTERBOTTENS LÄN</t>
        </is>
      </c>
      <c r="G348" t="inlineStr">
        <is>
          <t>MALÅ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46313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2026-10-18T08:05:57Z</dcterms:created>
  <dcterms:modified xmlns:dcterms="http://purl.org/dc/terms/" xmlns:xsi="http://www.w3.org/2001/XMLSchema-instance" xsi:type="dcterms:W3CDTF">2026-10-18T08:05:58Z</dcterms:modified>
</cp:coreProperties>
</file>