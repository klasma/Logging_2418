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46222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Grantaggsvamp</t>
        </is>
      </c>
      <c r="V6">
        <f>HYPERLINK("https://klasma.github.io/Logging_2418/artfynd/A 5658-2026 artfynd.xlsx", "A 5658-2026")</f>
        <v/>
      </c>
      <c r="W6">
        <f>HYPERLINK("https://klasma.github.io/Logging_2418/kartor/A 5658-2026 karta.png", "A 5658-2026")</f>
        <v/>
      </c>
      <c r="Y6">
        <f>HYPERLINK("https://klasma.github.io/Logging_2418/klagomål/A 5658-2026 FSC-klagomål.docx", "A 5658-2026")</f>
        <v/>
      </c>
      <c r="Z6">
        <f>HYPERLINK("https://klasma.github.io/Logging_2418/klagomålsmail/A 5658-2026 FSC-klagomål mail.docx", "A 5658-2026")</f>
        <v/>
      </c>
      <c r="AA6">
        <f>HYPERLINK("https://klasma.github.io/Logging_2418/tillsyn/A 5658-2026 tillsynsbegäran.docx", "A 5658-2026")</f>
        <v/>
      </c>
      <c r="AB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Tallticka</t>
        </is>
      </c>
      <c r="V7">
        <f>HYPERLINK("https://klasma.github.io/Logging_2418/artfynd/A 48895-2025 artfynd.xlsx", "A 48895-2025")</f>
        <v/>
      </c>
      <c r="W7">
        <f>HYPERLINK("https://klasma.github.io/Logging_2418/kartor/A 48895-2025 karta.png", "A 48895-2025")</f>
        <v/>
      </c>
      <c r="Y7">
        <f>HYPERLINK("https://klasma.github.io/Logging_2418/klagomål/A 48895-2025 FSC-klagomål.docx", "A 48895-2025")</f>
        <v/>
      </c>
      <c r="Z7">
        <f>HYPERLINK("https://klasma.github.io/Logging_2418/klagomålsmail/A 48895-2025 FSC-klagomål mail.docx", "A 48895-2025")</f>
        <v/>
      </c>
      <c r="AA7">
        <f>HYPERLINK("https://klasma.github.io/Logging_2418/tillsyn/A 48895-2025 tillsynsbegäran.docx", "A 48895-2025")</f>
        <v/>
      </c>
      <c r="AB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Y8">
        <f>HYPERLINK("https://klasma.github.io/Logging_2418/klagomål/A 49040-2025 FSC-klagomål.docx", "A 49040-2025")</f>
        <v/>
      </c>
      <c r="Z8">
        <f>HYPERLINK("https://klasma.github.io/Logging_2418/klagomålsmail/A 49040-2025 FSC-klagomål mail.docx", "A 49040-2025")</f>
        <v/>
      </c>
      <c r="AA8">
        <f>HYPERLINK("https://klasma.github.io/Logging_2418/tillsyn/A 49040-2025 tillsynsbegäran.docx", "A 49040-2025")</f>
        <v/>
      </c>
      <c r="AB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46222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Robust tickgnagare</t>
        </is>
      </c>
      <c r="V9">
        <f>HYPERLINK("https://klasma.github.io/Logging_2418/artfynd/A 41840-2023 artfynd.xlsx", "A 41840-2023")</f>
        <v/>
      </c>
      <c r="W9">
        <f>HYPERLINK("https://klasma.github.io/Logging_2418/kartor/A 41840-2023 karta.png", "A 41840-2023")</f>
        <v/>
      </c>
      <c r="Y9">
        <f>HYPERLINK("https://klasma.github.io/Logging_2418/klagomål/A 41840-2023 FSC-klagomål.docx", "A 41840-2023")</f>
        <v/>
      </c>
      <c r="Z9">
        <f>HYPERLINK("https://klasma.github.io/Logging_2418/klagomålsmail/A 41840-2023 FSC-klagomål mail.docx", "A 41840-2023")</f>
        <v/>
      </c>
      <c r="AA9">
        <f>HYPERLINK("https://klasma.github.io/Logging_2418/tillsyn/A 41840-2023 tillsynsbegäran.docx", "A 41840-2023")</f>
        <v/>
      </c>
      <c r="AB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46222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Norna</t>
        </is>
      </c>
      <c r="V10">
        <f>HYPERLINK("https://klasma.github.io/Logging_2418/artfynd/A 49370-2021 artfynd.xlsx", "A 49370-2021")</f>
        <v/>
      </c>
      <c r="W10">
        <f>HYPERLINK("https://klasma.github.io/Logging_2418/kartor/A 49370-2021 karta.png", "A 49370-2021")</f>
        <v/>
      </c>
      <c r="Y10">
        <f>HYPERLINK("https://klasma.github.io/Logging_2418/klagomål/A 49370-2021 FSC-klagomål.docx", "A 49370-2021")</f>
        <v/>
      </c>
      <c r="Z10">
        <f>HYPERLINK("https://klasma.github.io/Logging_2418/klagomålsmail/A 49370-2021 FSC-klagomål mail.docx", "A 49370-2021")</f>
        <v/>
      </c>
      <c r="AA10">
        <f>HYPERLINK("https://klasma.github.io/Logging_2418/tillsyn/A 49370-2021 tillsynsbegäran.docx", "A 49370-2021")</f>
        <v/>
      </c>
      <c r="AB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46222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Gammelgransskål</t>
        </is>
      </c>
      <c r="V11">
        <f>HYPERLINK("https://klasma.github.io/Logging_2418/artfynd/A 52129-2024 artfynd.xlsx", "A 52129-2024")</f>
        <v/>
      </c>
      <c r="W11">
        <f>HYPERLINK("https://klasma.github.io/Logging_2418/kartor/A 52129-2024 karta.png", "A 52129-2024")</f>
        <v/>
      </c>
      <c r="Y11">
        <f>HYPERLINK("https://klasma.github.io/Logging_2418/klagomål/A 52129-2024 FSC-klagomål.docx", "A 52129-2024")</f>
        <v/>
      </c>
      <c r="Z11">
        <f>HYPERLINK("https://klasma.github.io/Logging_2418/klagomålsmail/A 52129-2024 FSC-klagomål mail.docx", "A 52129-2024")</f>
        <v/>
      </c>
      <c r="AA11">
        <f>HYPERLINK("https://klasma.github.io/Logging_2418/tillsyn/A 52129-2024 tillsynsbegäran.docx", "A 52129-2024")</f>
        <v/>
      </c>
      <c r="AB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46222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46222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46222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46222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46222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46222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46222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46222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46222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46222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45549-2021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44440</v>
      </c>
      <c r="E22" s="1" t="n">
        <v>46222</v>
      </c>
      <c r="F22" t="inlineStr">
        <is>
          <t>VÄSTERBOTTENS LÄN</t>
        </is>
      </c>
      <c r="G22" t="inlineStr">
        <is>
          <t>MALÅ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46222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46222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46222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46222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46222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46222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46222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46222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46222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46222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33690-2024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46222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46222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46222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46222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46222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46222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46222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63.6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46042</v>
      </c>
      <c r="E40" s="1" t="n">
        <v>46222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46222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46222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48089-2024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46222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32772-2024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45516</v>
      </c>
      <c r="E44" s="1" t="n">
        <v>46222</v>
      </c>
      <c r="F44" t="inlineStr">
        <is>
          <t>VÄSTERBOTTENS LÄN</t>
        </is>
      </c>
      <c r="G44" t="inlineStr">
        <is>
          <t>MALÅ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46222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20234-2023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45054</v>
      </c>
      <c r="E46" s="1" t="n">
        <v>46222</v>
      </c>
      <c r="F46" t="inlineStr">
        <is>
          <t>VÄSTERBOTTENS LÄN</t>
        </is>
      </c>
      <c r="G46" t="inlineStr">
        <is>
          <t>MALÅ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46222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39627-2025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46222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39614-2025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46222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46222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46222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46222</v>
      </c>
      <c r="F52" t="inlineStr">
        <is>
          <t>VÄSTERBOTTENS LÄN</t>
        </is>
      </c>
      <c r="G52" t="inlineStr">
        <is>
          <t>MALÅ</t>
        </is>
      </c>
      <c r="I52" t="n">
        <v>73.7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53657-2023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45230</v>
      </c>
      <c r="E53" s="1" t="n">
        <v>46222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46222</v>
      </c>
      <c r="F54" t="inlineStr">
        <is>
          <t>VÄSTERBOTTENS LÄN</t>
        </is>
      </c>
      <c r="G54" t="inlineStr">
        <is>
          <t>MALÅ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41198-2025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46222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46222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41191-2025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46222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46222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41353-2023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46222</v>
      </c>
      <c r="F59" t="inlineStr">
        <is>
          <t>VÄSTERBOTTENS LÄN</t>
        </is>
      </c>
      <c r="G59" t="inlineStr">
        <is>
          <t>MALÅ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  <c r="X59">
        <f>HYPERLINK("https://klasma.github.io/Logging_2418/knärot/A 41353-2023 karta knärot.png", "A 41353-2023")</f>
        <v/>
      </c>
      <c r="Y59">
        <f>HYPERLINK("https://klasma.github.io/Logging_2418/klagomål/A 41353-2023 FSC-klagomål.docx", "A 41353-2023")</f>
        <v/>
      </c>
      <c r="Z59">
        <f>HYPERLINK("https://klasma.github.io/Logging_2418/klagomålsmail/A 41353-2023 FSC-klagomål mail.docx", "A 41353-2023")</f>
        <v/>
      </c>
      <c r="AA59">
        <f>HYPERLINK("https://klasma.github.io/Logging_2418/tillsyn/A 41353-2023 tillsynsbegäran.docx", "A 41353-2023")</f>
        <v/>
      </c>
      <c r="AB59">
        <f>HYPERLINK("https://klasma.github.io/Logging_2418/tillsynsmail/A 41353-2023 tillsynsbegäran mail.docx", "A 41353-2023")</f>
        <v/>
      </c>
    </row>
    <row r="60" ht="15" customHeight="1">
      <c r="A60" t="inlineStr">
        <is>
          <t>A 40943-2025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45897</v>
      </c>
      <c r="E60" s="1" t="n">
        <v>46222</v>
      </c>
      <c r="F60" t="inlineStr">
        <is>
          <t>VÄSTERBOTTENS LÄN</t>
        </is>
      </c>
      <c r="G60" t="inlineStr">
        <is>
          <t>MALÅ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41559-2025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46222</v>
      </c>
      <c r="F61" t="inlineStr">
        <is>
          <t>VÄSTERBOTTENS LÄN</t>
        </is>
      </c>
      <c r="G61" t="inlineStr">
        <is>
          <t>MALÅ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46222</v>
      </c>
      <c r="F62" t="inlineStr">
        <is>
          <t>VÄSTERBOTTENS LÄN</t>
        </is>
      </c>
      <c r="G62" t="inlineStr">
        <is>
          <t>MALÅ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41913-2023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46222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11824-2023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46222</v>
      </c>
      <c r="F64" t="inlineStr">
        <is>
          <t>VÄSTERBOTTENS LÄN</t>
        </is>
      </c>
      <c r="G64" t="inlineStr">
        <is>
          <t>MALÅ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46222</v>
      </c>
      <c r="F65" t="inlineStr">
        <is>
          <t>VÄSTERBOTTENS LÄN</t>
        </is>
      </c>
      <c r="G65" t="inlineStr">
        <is>
          <t>MALÅ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49434-2023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45211</v>
      </c>
      <c r="E66" s="1" t="n">
        <v>46222</v>
      </c>
      <c r="F66" t="inlineStr">
        <is>
          <t>VÄSTERBOTTENS LÄN</t>
        </is>
      </c>
      <c r="G66" t="inlineStr">
        <is>
          <t>MALÅ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46222</v>
      </c>
      <c r="F67" t="inlineStr">
        <is>
          <t>VÄSTERBOTTENS LÄN</t>
        </is>
      </c>
      <c r="G67" t="inlineStr">
        <is>
          <t>MALÅ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34353-2022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46222</v>
      </c>
      <c r="F68" t="inlineStr">
        <is>
          <t>VÄSTERBOTTENS LÄN</t>
        </is>
      </c>
      <c r="G68" t="inlineStr">
        <is>
          <t>MALÅ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46222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35723-2025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46222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59866-2021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46222</v>
      </c>
      <c r="F71" t="inlineStr">
        <is>
          <t>VÄSTERBOTTENS LÄN</t>
        </is>
      </c>
      <c r="G71" t="inlineStr">
        <is>
          <t>MALÅ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35851-2025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45861</v>
      </c>
      <c r="E72" s="1" t="n">
        <v>46222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48034-2025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46222</v>
      </c>
      <c r="F73" t="inlineStr">
        <is>
          <t>VÄSTERBOTTENS LÄN</t>
        </is>
      </c>
      <c r="G73" t="inlineStr">
        <is>
          <t>MALÅ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45861</v>
      </c>
      <c r="E74" s="1" t="n">
        <v>46222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46222</v>
      </c>
      <c r="F75" t="inlineStr">
        <is>
          <t>VÄSTERBOTTENS LÄN</t>
        </is>
      </c>
      <c r="G75" t="inlineStr">
        <is>
          <t>MALÅ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60520-2024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46222</v>
      </c>
      <c r="F76" t="inlineStr">
        <is>
          <t>VÄSTERBOTTENS LÄN</t>
        </is>
      </c>
      <c r="G76" t="inlineStr">
        <is>
          <t>MALÅ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45861</v>
      </c>
      <c r="E77" s="1" t="n">
        <v>46222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35856-2025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45861</v>
      </c>
      <c r="E78" s="1" t="n">
        <v>46222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46222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46222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46222</v>
      </c>
      <c r="F81" t="inlineStr">
        <is>
          <t>VÄSTERBOTTENS LÄN</t>
        </is>
      </c>
      <c r="G81" t="inlineStr">
        <is>
          <t>MALÅ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46222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49207-2025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46222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46222</v>
      </c>
      <c r="F84" t="inlineStr">
        <is>
          <t>VÄSTERBOTTENS LÄN</t>
        </is>
      </c>
      <c r="G84" t="inlineStr">
        <is>
          <t>MALÅ</t>
        </is>
      </c>
      <c r="I84" t="n">
        <v>15.7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45153</v>
      </c>
      <c r="E85" s="1" t="n">
        <v>46222</v>
      </c>
      <c r="F85" t="inlineStr">
        <is>
          <t>VÄSTERBOTTENS LÄN</t>
        </is>
      </c>
      <c r="G85" t="inlineStr">
        <is>
          <t>MALÅ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46222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42182-2023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45178</v>
      </c>
      <c r="E87" s="1" t="n">
        <v>46222</v>
      </c>
      <c r="F87" t="inlineStr">
        <is>
          <t>VÄSTERBOTTENS LÄN</t>
        </is>
      </c>
      <c r="G87" t="inlineStr">
        <is>
          <t>MALÅ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49070-2025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46222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46222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49657-2025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46222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46222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32769-2024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45516</v>
      </c>
      <c r="E92" s="1" t="n">
        <v>46222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37119-2025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46222</v>
      </c>
      <c r="F93" t="inlineStr">
        <is>
          <t>VÄSTERBOTTENS LÄN</t>
        </is>
      </c>
      <c r="G93" t="inlineStr">
        <is>
          <t>MALÅ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13001-2023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46222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46222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60168-2024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46222</v>
      </c>
      <c r="F96" t="inlineStr">
        <is>
          <t>VÄSTERBOTTENS LÄN</t>
        </is>
      </c>
      <c r="G96" t="inlineStr">
        <is>
          <t>MALÅ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46222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46222</v>
      </c>
      <c r="F98" t="inlineStr">
        <is>
          <t>VÄSTERBOTTENS LÄN</t>
        </is>
      </c>
      <c r="G98" t="inlineStr">
        <is>
          <t>MALÅ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46222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51967-2025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46222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46222</v>
      </c>
      <c r="F101" t="inlineStr">
        <is>
          <t>VÄSTERBOTTENS LÄN</t>
        </is>
      </c>
      <c r="G101" t="inlineStr">
        <is>
          <t>MALÅ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51936-2025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46222</v>
      </c>
      <c r="F102" t="inlineStr">
        <is>
          <t>VÄSTERBOTTENS LÄN</t>
        </is>
      </c>
      <c r="G102" t="inlineStr">
        <is>
          <t>MALÅ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46222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46222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38877-2023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46222</v>
      </c>
      <c r="F105" t="inlineStr">
        <is>
          <t>VÄSTERBOTTENS LÄN</t>
        </is>
      </c>
      <c r="G105" t="inlineStr">
        <is>
          <t>MALÅ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46222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46222</v>
      </c>
      <c r="F107" t="inlineStr">
        <is>
          <t>VÄSTERBOTTENS LÄN</t>
        </is>
      </c>
      <c r="G107" t="inlineStr">
        <is>
          <t>MALÅ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41792-2023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46222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60591-2024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46222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61992-2024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46222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46222</v>
      </c>
      <c r="F111" t="inlineStr">
        <is>
          <t>VÄSTERBOTTENS LÄN</t>
        </is>
      </c>
      <c r="G111" t="inlineStr">
        <is>
          <t>MALÅ</t>
        </is>
      </c>
      <c r="I111" t="n">
        <v>26.9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46222</v>
      </c>
      <c r="F112" t="inlineStr">
        <is>
          <t>VÄSTERBOTTENS LÄN</t>
        </is>
      </c>
      <c r="G112" t="inlineStr">
        <is>
          <t>MALÅ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8648-2026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46066</v>
      </c>
      <c r="E113" s="1" t="n">
        <v>46222</v>
      </c>
      <c r="F113" t="inlineStr">
        <is>
          <t>VÄSTERBOTTENS LÄN</t>
        </is>
      </c>
      <c r="G113" t="inlineStr">
        <is>
          <t>MALÅ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8757-2026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46222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46222</v>
      </c>
      <c r="F115" t="inlineStr">
        <is>
          <t>VÄSTERBOTTENS LÄN</t>
        </is>
      </c>
      <c r="G115" t="inlineStr">
        <is>
          <t>MALÅ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60702-2024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46222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9311-2026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46222</v>
      </c>
      <c r="F117" t="inlineStr">
        <is>
          <t>VÄSTERBOTTENS LÄN</t>
        </is>
      </c>
      <c r="G117" t="inlineStr">
        <is>
          <t>MALÅ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46222</v>
      </c>
      <c r="F118" t="inlineStr">
        <is>
          <t>VÄSTERBOTTENS LÄN</t>
        </is>
      </c>
      <c r="G118" t="inlineStr">
        <is>
          <t>MALÅ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46222</v>
      </c>
      <c r="F119" t="inlineStr">
        <is>
          <t>VÄSTERBOTTENS LÄN</t>
        </is>
      </c>
      <c r="G119" t="inlineStr">
        <is>
          <t>MALÅ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46222</v>
      </c>
      <c r="F120" t="inlineStr">
        <is>
          <t>VÄSTERBOTTENS LÄN</t>
        </is>
      </c>
      <c r="G120" t="inlineStr">
        <is>
          <t>MALÅ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46222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46222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46222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46222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37960-2023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45160</v>
      </c>
      <c r="E125" s="1" t="n">
        <v>46222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21.8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45193</v>
      </c>
      <c r="E126" s="1" t="n">
        <v>46222</v>
      </c>
      <c r="F126" t="inlineStr">
        <is>
          <t>VÄSTERBOTTENS LÄN</t>
        </is>
      </c>
      <c r="G126" t="inlineStr">
        <is>
          <t>MALÅ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46222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46222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11299-2025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46222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37.2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46222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46222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46222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37078-2023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46222</v>
      </c>
      <c r="F133" t="inlineStr">
        <is>
          <t>VÄSTERBOTTENS LÄN</t>
        </is>
      </c>
      <c r="G133" t="inlineStr">
        <is>
          <t>MALÅ</t>
        </is>
      </c>
      <c r="I133" t="n">
        <v>48.2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46222</v>
      </c>
      <c r="F134" t="inlineStr">
        <is>
          <t>VÄSTERBOTTENS LÄN</t>
        </is>
      </c>
      <c r="G134" t="inlineStr">
        <is>
          <t>MALÅ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46222</v>
      </c>
      <c r="F135" t="inlineStr">
        <is>
          <t>VÄSTERBOTTENS LÄN</t>
        </is>
      </c>
      <c r="G135" t="inlineStr">
        <is>
          <t>MALÅ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41384-2023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46222</v>
      </c>
      <c r="F136" t="inlineStr">
        <is>
          <t>VÄSTERBOTTENS LÄN</t>
        </is>
      </c>
      <c r="G136" t="inlineStr">
        <is>
          <t>MALÅ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46222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46222</v>
      </c>
      <c r="F138" t="inlineStr">
        <is>
          <t>VÄSTERBOTTENS LÄN</t>
        </is>
      </c>
      <c r="G138" t="inlineStr">
        <is>
          <t>MALÅ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46222</v>
      </c>
      <c r="F139" t="inlineStr">
        <is>
          <t>VÄSTERBOTTENS LÄN</t>
        </is>
      </c>
      <c r="G139" t="inlineStr">
        <is>
          <t>MALÅ</t>
        </is>
      </c>
      <c r="I139" t="n">
        <v>20.7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46222</v>
      </c>
      <c r="F140" t="inlineStr">
        <is>
          <t>VÄSTERBOTTENS LÄN</t>
        </is>
      </c>
      <c r="G140" t="inlineStr">
        <is>
          <t>MALÅ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58893-2025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46222</v>
      </c>
      <c r="F141" t="inlineStr">
        <is>
          <t>VÄSTERBOTTENS LÄN</t>
        </is>
      </c>
      <c r="G141" t="inlineStr">
        <is>
          <t>MALÅ</t>
        </is>
      </c>
      <c r="I141" t="n">
        <v>19.2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46222</v>
      </c>
      <c r="F142" t="inlineStr">
        <is>
          <t>VÄSTERBOTTENS LÄN</t>
        </is>
      </c>
      <c r="G142" t="inlineStr">
        <is>
          <t>MALÅ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46222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46222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59440-2025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46222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46222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15857-2023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46222</v>
      </c>
      <c r="F147" t="inlineStr">
        <is>
          <t>VÄSTERBOTTENS LÄN</t>
        </is>
      </c>
      <c r="G147" t="inlineStr">
        <is>
          <t>MALÅ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46222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59457-2025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46222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46222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42214-2023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45179</v>
      </c>
      <c r="E151" s="1" t="n">
        <v>46222</v>
      </c>
      <c r="F151" t="inlineStr">
        <is>
          <t>VÄSTERBOTTENS LÄN</t>
        </is>
      </c>
      <c r="G151" t="inlineStr">
        <is>
          <t>MALÅ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13773-2026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46222</v>
      </c>
      <c r="F152" t="inlineStr">
        <is>
          <t>VÄSTERBOTTENS LÄN</t>
        </is>
      </c>
      <c r="G152" t="inlineStr">
        <is>
          <t>MALÅ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46222</v>
      </c>
      <c r="F153" t="inlineStr">
        <is>
          <t>VÄSTERBOTTENS LÄN</t>
        </is>
      </c>
      <c r="G153" t="inlineStr">
        <is>
          <t>MALÅ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46222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61480-2025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46222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46222</v>
      </c>
      <c r="F156" t="inlineStr">
        <is>
          <t>VÄSTERBOTTENS LÄN</t>
        </is>
      </c>
      <c r="G156" t="inlineStr">
        <is>
          <t>MALÅ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46222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46222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46222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46222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46222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15306-2026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46222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15286-2026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46222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62124-2024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46222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46222</v>
      </c>
      <c r="F165" t="inlineStr">
        <is>
          <t>VÄSTERBOTTENS LÄN</t>
        </is>
      </c>
      <c r="G165" t="inlineStr">
        <is>
          <t>MALÅ</t>
        </is>
      </c>
      <c r="H165" t="inlineStr">
        <is>
          <t>SCA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45148</v>
      </c>
      <c r="E166" s="1" t="n">
        <v>46222</v>
      </c>
      <c r="F166" t="inlineStr">
        <is>
          <t>VÄSTERBOTTENS LÄN</t>
        </is>
      </c>
      <c r="G166" t="inlineStr">
        <is>
          <t>MALÅ</t>
        </is>
      </c>
      <c r="I166" t="n">
        <v>26.3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57303-2023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46222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46222</v>
      </c>
      <c r="F168" t="inlineStr">
        <is>
          <t>VÄSTERBOTTENS LÄN</t>
        </is>
      </c>
      <c r="G168" t="inlineStr">
        <is>
          <t>MALÅ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46222</v>
      </c>
      <c r="F169" t="inlineStr">
        <is>
          <t>VÄSTERBOTTENS LÄN</t>
        </is>
      </c>
      <c r="G169" t="inlineStr">
        <is>
          <t>MALÅ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46222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46222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46222</v>
      </c>
      <c r="F172" t="inlineStr">
        <is>
          <t>VÄSTERBOTTENS LÄN</t>
        </is>
      </c>
      <c r="G172" t="inlineStr">
        <is>
          <t>MALÅ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46222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46222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46222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37537-2023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46222</v>
      </c>
      <c r="F176" t="inlineStr">
        <is>
          <t>VÄSTERBOTTENS LÄN</t>
        </is>
      </c>
      <c r="G176" t="inlineStr">
        <is>
          <t>MALÅ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37678-2023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46222</v>
      </c>
      <c r="F177" t="inlineStr">
        <is>
          <t>VÄSTERBOTTENS LÄN</t>
        </is>
      </c>
      <c r="G177" t="inlineStr">
        <is>
          <t>MALÅ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46222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46222</v>
      </c>
      <c r="F179" t="inlineStr">
        <is>
          <t>VÄSTERBOTTENS LÄN</t>
        </is>
      </c>
      <c r="G179" t="inlineStr">
        <is>
          <t>MALÅ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36425-2023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46222</v>
      </c>
      <c r="F180" t="inlineStr">
        <is>
          <t>VÄSTERBOTTENS LÄN</t>
        </is>
      </c>
      <c r="G180" t="inlineStr">
        <is>
          <t>MALÅ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17020-2026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46114</v>
      </c>
      <c r="E181" s="1" t="n">
        <v>46222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19.7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46222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45750</v>
      </c>
      <c r="E183" s="1" t="n">
        <v>46222</v>
      </c>
      <c r="F183" t="inlineStr">
        <is>
          <t>VÄSTERBOTTENS LÄN</t>
        </is>
      </c>
      <c r="G183" t="inlineStr">
        <is>
          <t>MALÅ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18478-2026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46222</v>
      </c>
      <c r="F184" t="inlineStr">
        <is>
          <t>VÄSTERBOTTENS LÄN</t>
        </is>
      </c>
      <c r="G184" t="inlineStr">
        <is>
          <t>MALÅ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61609-2024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46222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39663-2023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46222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30.8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40593-2023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46222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18.2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46222</v>
      </c>
      <c r="F188" t="inlineStr">
        <is>
          <t>VÄSTERBOTTENS LÄN</t>
        </is>
      </c>
      <c r="G188" t="inlineStr">
        <is>
          <t>MALÅ</t>
        </is>
      </c>
      <c r="I188" t="n">
        <v>63.5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39214-2023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46222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46222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19349-2026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46222</v>
      </c>
      <c r="F191" t="inlineStr">
        <is>
          <t>VÄSTERBOTTENS LÄN</t>
        </is>
      </c>
      <c r="G191" t="inlineStr">
        <is>
          <t>MALÅ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46222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55.9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46222</v>
      </c>
      <c r="F193" t="inlineStr">
        <is>
          <t>VÄSTERBOTTENS LÄN</t>
        </is>
      </c>
      <c r="G193" t="inlineStr">
        <is>
          <t>MALÅ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48224-2024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46222</v>
      </c>
      <c r="F194" t="inlineStr">
        <is>
          <t>VÄSTERBOTTENS LÄN</t>
        </is>
      </c>
      <c r="G194" t="inlineStr">
        <is>
          <t>MALÅ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48327-2023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46222</v>
      </c>
      <c r="F195" t="inlineStr">
        <is>
          <t>VÄSTERBOTTENS LÄN</t>
        </is>
      </c>
      <c r="G195" t="inlineStr">
        <is>
          <t>MALÅ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60616-2024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46222</v>
      </c>
      <c r="F196" t="inlineStr">
        <is>
          <t>VÄSTERBOTTENS LÄN</t>
        </is>
      </c>
      <c r="G196" t="inlineStr">
        <is>
          <t>MALÅ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38404-2023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46222</v>
      </c>
      <c r="F197" t="inlineStr">
        <is>
          <t>VÄSTERBOTTENS LÄN</t>
        </is>
      </c>
      <c r="G197" t="inlineStr">
        <is>
          <t>MALÅ</t>
        </is>
      </c>
      <c r="I197" t="n">
        <v>17.5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43952-2023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46222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44513-2023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46222</v>
      </c>
      <c r="F199" t="inlineStr">
        <is>
          <t>VÄSTERBOTTENS LÄN</t>
        </is>
      </c>
      <c r="G199" t="inlineStr">
        <is>
          <t>MALÅ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46222</v>
      </c>
      <c r="F200" t="inlineStr">
        <is>
          <t>VÄSTERBOTTENS LÄN</t>
        </is>
      </c>
      <c r="G200" t="inlineStr">
        <is>
          <t>MALÅ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37785-2023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46222</v>
      </c>
      <c r="F201" t="inlineStr">
        <is>
          <t>VÄSTERBOTTENS LÄN</t>
        </is>
      </c>
      <c r="G201" t="inlineStr">
        <is>
          <t>MALÅ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50504-2024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46222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25.9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46222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46222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61605-2024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46222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45101-2023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46222</v>
      </c>
      <c r="F206" t="inlineStr">
        <is>
          <t>VÄSTERBOTTENS LÄN</t>
        </is>
      </c>
      <c r="G206" t="inlineStr">
        <is>
          <t>MALÅ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46222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46222</v>
      </c>
      <c r="F208" t="inlineStr">
        <is>
          <t>VÄSTERBOTTENS LÄN</t>
        </is>
      </c>
      <c r="G208" t="inlineStr">
        <is>
          <t>MALÅ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46222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46222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45714</v>
      </c>
      <c r="E211" s="1" t="n">
        <v>46222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18.7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46222</v>
      </c>
      <c r="F212" t="inlineStr">
        <is>
          <t>VÄSTERBOTTENS LÄN</t>
        </is>
      </c>
      <c r="G212" t="inlineStr">
        <is>
          <t>MALÅ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46222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46063-2023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46222</v>
      </c>
      <c r="F214" t="inlineStr">
        <is>
          <t>VÄSTERBOTTENS LÄN</t>
        </is>
      </c>
      <c r="G214" t="inlineStr">
        <is>
          <t>MALÅ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46222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46222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46222</v>
      </c>
      <c r="F217" t="inlineStr">
        <is>
          <t>VÄSTERBOTTENS LÄN</t>
        </is>
      </c>
      <c r="G217" t="inlineStr">
        <is>
          <t>MALÅ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45744-2023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46222</v>
      </c>
      <c r="F218" t="inlineStr">
        <is>
          <t>VÄSTERBOTTENS LÄN</t>
        </is>
      </c>
      <c r="G218" t="inlineStr">
        <is>
          <t>MALÅ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46222</v>
      </c>
      <c r="F219" t="inlineStr">
        <is>
          <t>VÄSTERBOTTENS LÄN</t>
        </is>
      </c>
      <c r="G219" t="inlineStr">
        <is>
          <t>MALÅ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36054-2023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46222</v>
      </c>
      <c r="F220" t="inlineStr">
        <is>
          <t>VÄSTERBOTTENS LÄN</t>
        </is>
      </c>
      <c r="G220" t="inlineStr">
        <is>
          <t>MALÅ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46222</v>
      </c>
      <c r="F221" t="inlineStr">
        <is>
          <t>VÄSTERBOTTENS LÄN</t>
        </is>
      </c>
      <c r="G221" t="inlineStr">
        <is>
          <t>MALÅ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46222</v>
      </c>
      <c r="F222" t="inlineStr">
        <is>
          <t>VÄSTERBOTTENS LÄN</t>
        </is>
      </c>
      <c r="G222" t="inlineStr">
        <is>
          <t>MALÅ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46222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46222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45516</v>
      </c>
      <c r="E225" s="1" t="n">
        <v>46222</v>
      </c>
      <c r="F225" t="inlineStr">
        <is>
          <t>VÄSTERBOTTENS LÄN</t>
        </is>
      </c>
      <c r="G225" t="inlineStr">
        <is>
          <t>MALÅ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46222</v>
      </c>
      <c r="F226" t="inlineStr">
        <is>
          <t>VÄSTERBOTTENS LÄN</t>
        </is>
      </c>
      <c r="G226" t="inlineStr">
        <is>
          <t>MALÅ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54463-2023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46222</v>
      </c>
      <c r="F227" t="inlineStr">
        <is>
          <t>VÄSTERBOTTENS LÄN</t>
        </is>
      </c>
      <c r="G227" t="inlineStr">
        <is>
          <t>MALÅ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52104-2023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46222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39791-2023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46222</v>
      </c>
      <c r="F229" t="inlineStr">
        <is>
          <t>VÄSTERBOTTENS LÄN</t>
        </is>
      </c>
      <c r="G229" t="inlineStr">
        <is>
          <t>MALÅ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39304-2023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46222</v>
      </c>
      <c r="F230" t="inlineStr">
        <is>
          <t>VÄSTERBOTTENS LÄN</t>
        </is>
      </c>
      <c r="G230" t="inlineStr">
        <is>
          <t>MALÅ</t>
        </is>
      </c>
      <c r="H230" t="inlineStr">
        <is>
          <t>Kyrkan</t>
        </is>
      </c>
      <c r="I230" t="n">
        <v>27.3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46222</v>
      </c>
      <c r="F231" t="inlineStr">
        <is>
          <t>VÄSTERBOTTENS LÄN</t>
        </is>
      </c>
      <c r="G231" t="inlineStr">
        <is>
          <t>MALÅ</t>
        </is>
      </c>
      <c r="H231" t="inlineStr">
        <is>
          <t>Kyrkan</t>
        </is>
      </c>
      <c r="I231" t="n">
        <v>84.5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38999-2023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46222</v>
      </c>
      <c r="F232" t="inlineStr">
        <is>
          <t>VÄSTERBOTTENS LÄN</t>
        </is>
      </c>
      <c r="G232" t="inlineStr">
        <is>
          <t>MALÅ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46222</v>
      </c>
      <c r="F233" t="inlineStr">
        <is>
          <t>VÄSTERBOTTENS LÄN</t>
        </is>
      </c>
      <c r="G233" t="inlineStr">
        <is>
          <t>MALÅ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46222</v>
      </c>
      <c r="F234" t="inlineStr">
        <is>
          <t>VÄSTERBOTTENS LÄN</t>
        </is>
      </c>
      <c r="G234" t="inlineStr">
        <is>
          <t>MALÅ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46222</v>
      </c>
      <c r="F235" t="inlineStr">
        <is>
          <t>VÄSTERBOTTENS LÄN</t>
        </is>
      </c>
      <c r="G235" t="inlineStr">
        <is>
          <t>MALÅ</t>
        </is>
      </c>
      <c r="I235" t="n">
        <v>147.1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48572-2023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46222</v>
      </c>
      <c r="F236" t="inlineStr">
        <is>
          <t>VÄSTERBOTTENS LÄN</t>
        </is>
      </c>
      <c r="G236" t="inlineStr">
        <is>
          <t>MALÅ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46222</v>
      </c>
      <c r="F237" t="inlineStr">
        <is>
          <t>VÄSTERBOTTENS LÄN</t>
        </is>
      </c>
      <c r="G237" t="inlineStr">
        <is>
          <t>MALÅ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46222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26998-2026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46222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46222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46222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45369</v>
      </c>
      <c r="E242" s="1" t="n">
        <v>46222</v>
      </c>
      <c r="F242" t="inlineStr">
        <is>
          <t>VÄSTERBOTTENS LÄN</t>
        </is>
      </c>
      <c r="G242" t="inlineStr">
        <is>
          <t>MALÅ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46222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46222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46222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46222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46222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46222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46222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46222</v>
      </c>
      <c r="F250" t="inlineStr">
        <is>
          <t>VÄSTERBOTTENS LÄN</t>
        </is>
      </c>
      <c r="G250" t="inlineStr">
        <is>
          <t>MALÅ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22308-2026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46222</v>
      </c>
      <c r="F251" t="inlineStr">
        <is>
          <t>VÄSTERBOTTENS LÄN</t>
        </is>
      </c>
      <c r="G251" t="inlineStr">
        <is>
          <t>MALÅ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42410-2023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46222</v>
      </c>
      <c r="F252" t="inlineStr">
        <is>
          <t>VÄSTERBOTTENS LÄN</t>
        </is>
      </c>
      <c r="G252" t="inlineStr">
        <is>
          <t>MALÅ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46222</v>
      </c>
      <c r="F253" t="inlineStr">
        <is>
          <t>VÄSTERBOTTENS LÄN</t>
        </is>
      </c>
      <c r="G253" t="inlineStr">
        <is>
          <t>MALÅ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40019-2023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46222</v>
      </c>
      <c r="F254" t="inlineStr">
        <is>
          <t>VÄSTERBOTTENS LÄN</t>
        </is>
      </c>
      <c r="G254" t="inlineStr">
        <is>
          <t>MALÅ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46222</v>
      </c>
      <c r="F255" t="inlineStr">
        <is>
          <t>VÄSTERBOTTENS LÄN</t>
        </is>
      </c>
      <c r="G255" t="inlineStr">
        <is>
          <t>MALÅ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33692-2024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46222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46222</v>
      </c>
      <c r="F257" t="inlineStr">
        <is>
          <t>VÄSTERBOTTENS LÄN</t>
        </is>
      </c>
      <c r="G257" t="inlineStr">
        <is>
          <t>MALÅ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61947-2024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46222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46222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53376-2023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46222</v>
      </c>
      <c r="F260" t="inlineStr">
        <is>
          <t>VÄSTERBOTTENS LÄN</t>
        </is>
      </c>
      <c r="G260" t="inlineStr">
        <is>
          <t>MALÅ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28803-2026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46222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46222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46222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46222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46222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46222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46222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29024-2026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46222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29025-2026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46222</v>
      </c>
      <c r="F269" t="inlineStr">
        <is>
          <t>VÄSTERBOTTENS LÄN</t>
        </is>
      </c>
      <c r="G269" t="inlineStr">
        <is>
          <t>MALÅ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26853-2026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46185</v>
      </c>
      <c r="E270" s="1" t="n">
        <v>46222</v>
      </c>
      <c r="F270" t="inlineStr">
        <is>
          <t>VÄSTERBOTTENS LÄN</t>
        </is>
      </c>
      <c r="G270" t="inlineStr">
        <is>
          <t>MALÅ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46066-2021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44441</v>
      </c>
      <c r="E271" s="1" t="n">
        <v>46222</v>
      </c>
      <c r="F271" t="inlineStr">
        <is>
          <t>VÄSTERBOTTENS LÄN</t>
        </is>
      </c>
      <c r="G271" t="inlineStr">
        <is>
          <t>MALÅ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12680-2022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44641</v>
      </c>
      <c r="E272" s="1" t="n">
        <v>46222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41672-2025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46222</v>
      </c>
      <c r="F273" t="inlineStr">
        <is>
          <t>VÄSTERBOTTENS LÄN</t>
        </is>
      </c>
      <c r="G273" t="inlineStr">
        <is>
          <t>MALÅ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46222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13432-2025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46222</v>
      </c>
      <c r="F275" t="inlineStr">
        <is>
          <t>VÄSTERBOTTENS LÄN</t>
        </is>
      </c>
      <c r="G275" t="inlineStr">
        <is>
          <t>MALÅ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40822-2023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45171</v>
      </c>
      <c r="E276" s="1" t="n">
        <v>46222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46222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46222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46222</v>
      </c>
      <c r="F279" t="inlineStr">
        <is>
          <t>VÄSTERBOTTENS LÄN</t>
        </is>
      </c>
      <c r="G279" t="inlineStr">
        <is>
          <t>MALÅ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46222</v>
      </c>
      <c r="F280" t="inlineStr">
        <is>
          <t>VÄSTERBOTTENS LÄN</t>
        </is>
      </c>
      <c r="G280" t="inlineStr">
        <is>
          <t>MALÅ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46222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49839-2023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46222</v>
      </c>
      <c r="F282" t="inlineStr">
        <is>
          <t>VÄSTERBOTTENS LÄN</t>
        </is>
      </c>
      <c r="G282" t="inlineStr">
        <is>
          <t>MALÅ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46222</v>
      </c>
      <c r="F283" t="inlineStr">
        <is>
          <t>VÄSTERBOTTENS LÄN</t>
        </is>
      </c>
      <c r="G283" t="inlineStr">
        <is>
          <t>MALÅ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30502-2026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46210</v>
      </c>
      <c r="E284" s="1" t="n">
        <v>46222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37326-2023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46222</v>
      </c>
      <c r="F285" t="inlineStr">
        <is>
          <t>VÄSTERBOTTENS LÄN</t>
        </is>
      </c>
      <c r="G285" t="inlineStr">
        <is>
          <t>MALÅ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44426-2023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45188</v>
      </c>
      <c r="E286" s="1" t="n">
        <v>46222</v>
      </c>
      <c r="F286" t="inlineStr">
        <is>
          <t>VÄSTERBOTTENS LÄN</t>
        </is>
      </c>
      <c r="G286" t="inlineStr">
        <is>
          <t>MALÅ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41792-2023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46222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46222</v>
      </c>
      <c r="F288" t="inlineStr">
        <is>
          <t>VÄSTERBOTTENS LÄN</t>
        </is>
      </c>
      <c r="G288" t="inlineStr">
        <is>
          <t>MALÅ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59561-2024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45638</v>
      </c>
      <c r="E289" s="1" t="n">
        <v>46222</v>
      </c>
      <c r="F289" t="inlineStr">
        <is>
          <t>VÄSTERBOTTENS LÄN</t>
        </is>
      </c>
      <c r="G289" t="inlineStr">
        <is>
          <t>MALÅ</t>
        </is>
      </c>
      <c r="I289" t="n">
        <v>11.4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67679-2021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44524</v>
      </c>
      <c r="E290" s="1" t="n">
        <v>46222</v>
      </c>
      <c r="F290" t="inlineStr">
        <is>
          <t>VÄSTERBOTTENS LÄN</t>
        </is>
      </c>
      <c r="G290" t="inlineStr">
        <is>
          <t>MALÅ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40588-2023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46222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56638-2024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46222</v>
      </c>
      <c r="F292" t="inlineStr">
        <is>
          <t>VÄSTERBOTTENS LÄN</t>
        </is>
      </c>
      <c r="G292" t="inlineStr">
        <is>
          <t>MALÅ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49011-2023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46222</v>
      </c>
      <c r="F293" t="inlineStr">
        <is>
          <t>VÄSTERBOTTENS LÄN</t>
        </is>
      </c>
      <c r="G293" t="inlineStr">
        <is>
          <t>MALÅ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56997-2023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46222</v>
      </c>
      <c r="F294" t="inlineStr">
        <is>
          <t>VÄSTERBOTTENS LÄN</t>
        </is>
      </c>
      <c r="G294" t="inlineStr">
        <is>
          <t>MALÅ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60624-2024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46222</v>
      </c>
      <c r="F295" t="inlineStr">
        <is>
          <t>VÄSTERBOTTENS LÄN</t>
        </is>
      </c>
      <c r="G295" t="inlineStr">
        <is>
          <t>MALÅ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46222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45595</v>
      </c>
      <c r="E297" s="1" t="n">
        <v>46222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37181-2023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46222</v>
      </c>
      <c r="F298" t="inlineStr">
        <is>
          <t>VÄSTERBOTTENS LÄN</t>
        </is>
      </c>
      <c r="G298" t="inlineStr">
        <is>
          <t>MALÅ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45233</v>
      </c>
      <c r="E299" s="1" t="n">
        <v>46222</v>
      </c>
      <c r="F299" t="inlineStr">
        <is>
          <t>VÄSTERBOTTENS LÄN</t>
        </is>
      </c>
      <c r="G299" t="inlineStr">
        <is>
          <t>MALÅ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45178</v>
      </c>
      <c r="E300" s="1" t="n">
        <v>46222</v>
      </c>
      <c r="F300" t="inlineStr">
        <is>
          <t>VÄSTERBOTTENS LÄN</t>
        </is>
      </c>
      <c r="G300" t="inlineStr">
        <is>
          <t>MALÅ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48731-2023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46222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46222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46222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45227</v>
      </c>
      <c r="E304" s="1" t="n">
        <v>46222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46222</v>
      </c>
      <c r="F305" t="inlineStr">
        <is>
          <t>VÄSTERBOTTENS LÄN</t>
        </is>
      </c>
      <c r="G305" t="inlineStr">
        <is>
          <t>MALÅ</t>
        </is>
      </c>
      <c r="I305" t="n">
        <v>13.3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46222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46222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46222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46222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46222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46222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46222</v>
      </c>
      <c r="F312" t="inlineStr">
        <is>
          <t>VÄSTERBOTTENS LÄN</t>
        </is>
      </c>
      <c r="G312" t="inlineStr">
        <is>
          <t>MALÅ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46222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46222</v>
      </c>
      <c r="F314" t="inlineStr">
        <is>
          <t>VÄSTERBOTTENS LÄN</t>
        </is>
      </c>
      <c r="G314" t="inlineStr">
        <is>
          <t>MALÅ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46222</v>
      </c>
      <c r="F315" t="inlineStr">
        <is>
          <t>VÄSTERBOTTENS LÄN</t>
        </is>
      </c>
      <c r="G315" t="inlineStr">
        <is>
          <t>MALÅ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46222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46222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51380-2023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46222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57499-2022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44889</v>
      </c>
      <c r="E319" s="1" t="n">
        <v>46222</v>
      </c>
      <c r="F319" t="inlineStr">
        <is>
          <t>VÄSTERBOTTENS LÄN</t>
        </is>
      </c>
      <c r="G319" t="inlineStr">
        <is>
          <t>MALÅ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59801-2021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44491</v>
      </c>
      <c r="E320" s="1" t="n">
        <v>46222</v>
      </c>
      <c r="F320" t="inlineStr">
        <is>
          <t>VÄSTERBOTTENS LÄN</t>
        </is>
      </c>
      <c r="G320" t="inlineStr">
        <is>
          <t>MALÅ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46222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32979-2024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46222</v>
      </c>
      <c r="F322" t="inlineStr">
        <is>
          <t>VÄSTERBOTTENS LÄN</t>
        </is>
      </c>
      <c r="G322" t="inlineStr">
        <is>
          <t>MALÅ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46222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46222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51387-2023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46222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36676-2023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46222</v>
      </c>
      <c r="F326" t="inlineStr">
        <is>
          <t>VÄSTERBOTTENS LÄN</t>
        </is>
      </c>
      <c r="G326" t="inlineStr">
        <is>
          <t>MALÅ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46222</v>
      </c>
      <c r="F327" t="inlineStr">
        <is>
          <t>VÄSTERBOTTENS LÄN</t>
        </is>
      </c>
      <c r="G327" t="inlineStr">
        <is>
          <t>MALÅ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46222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24925-2025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46222</v>
      </c>
      <c r="F329" t="inlineStr">
        <is>
          <t>VÄSTERBOTTENS LÄN</t>
        </is>
      </c>
      <c r="G329" t="inlineStr">
        <is>
          <t>MALÅ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29375-2023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46222</v>
      </c>
      <c r="F330" t="inlineStr">
        <is>
          <t>VÄSTERBOTTENS LÄN</t>
        </is>
      </c>
      <c r="G330" t="inlineStr">
        <is>
          <t>MALÅ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46222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46222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2026-07-19T01:34:49Z</dcterms:created>
  <dcterms:modified xmlns:dcterms="http://purl.org/dc/terms/" xmlns:xsi="http://www.w3.org/2001/XMLSchema-instance" xsi:type="dcterms:W3CDTF">2026-07-19T01:34:50Z</dcterms:modified>
</cp:coreProperties>
</file>