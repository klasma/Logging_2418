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49040-2025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46266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Orange taggsvamp</t>
        </is>
      </c>
      <c r="W6">
        <f>HYPERLINK("https://klasma.github.io/Logging_2418/artfynd/A 49040-2025 artfynd.xlsx", "A 49040-2025")</f>
        <v/>
      </c>
      <c r="X6">
        <f>HYPERLINK("https://klasma.github.io/Logging_2418/kartor/A 49040-2025 karta.png", "A 49040-2025")</f>
        <v/>
      </c>
      <c r="Y6">
        <f>HYPERLINK("https://klasma.github.io/Logging_2418/kartor_geotiff/A 49040-2025 georefererad karta.tif", "A 49040-2025")</f>
        <v/>
      </c>
      <c r="AA6">
        <f>HYPERLINK("https://klasma.github.io/Logging_2418/klagomål/A 49040-2025 FSC-klagomål.docx", "A 49040-2025")</f>
        <v/>
      </c>
      <c r="AB6">
        <f>HYPERLINK("https://klasma.github.io/Logging_2418/klagomålsmail/A 49040-2025 FSC-klagomål mail.docx", "A 49040-2025")</f>
        <v/>
      </c>
      <c r="AC6">
        <f>HYPERLINK("https://klasma.github.io/Logging_2418/tillsyn/A 49040-2025 tillsynsbegäran.docx", "A 49040-2025")</f>
        <v/>
      </c>
      <c r="AD6">
        <f>HYPERLINK("https://klasma.github.io/Logging_2418/tillsynsmail/A 49040-2025 tillsynsbegäran mail.docx", "A 49040-2025")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46266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49370-2021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44454</v>
      </c>
      <c r="E8" s="1" t="n">
        <v>46266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26.5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Norna</t>
        </is>
      </c>
      <c r="W8">
        <f>HYPERLINK("https://klasma.github.io/Logging_2418/artfynd/A 49370-2021 artfynd.xlsx", "A 49370-2021")</f>
        <v/>
      </c>
      <c r="X8">
        <f>HYPERLINK("https://klasma.github.io/Logging_2418/kartor/A 49370-2021 karta.png", "A 49370-2021")</f>
        <v/>
      </c>
      <c r="Y8">
        <f>HYPERLINK("https://klasma.github.io/Logging_2418/kartor_geotiff/A 49370-2021 georefererad karta.tif", "A 49370-2021")</f>
        <v/>
      </c>
      <c r="AA8">
        <f>HYPERLINK("https://klasma.github.io/Logging_2418/klagomål/A 49370-2021 FSC-klagomål.docx", "A 49370-2021")</f>
        <v/>
      </c>
      <c r="AB8">
        <f>HYPERLINK("https://klasma.github.io/Logging_2418/klagomålsmail/A 49370-2021 FSC-klagomål mail.docx", "A 49370-2021")</f>
        <v/>
      </c>
      <c r="AC8">
        <f>HYPERLINK("https://klasma.github.io/Logging_2418/tillsyn/A 49370-2021 tillsynsbegäran.docx", "A 49370-2021")</f>
        <v/>
      </c>
      <c r="AD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46266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46266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46266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46266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46266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46266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46266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46266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46266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46266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46266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46266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46266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45549-2021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44440</v>
      </c>
      <c r="E22" s="1" t="n">
        <v>46266</v>
      </c>
      <c r="F22" t="inlineStr">
        <is>
          <t>VÄSTERBOTTENS LÄN</t>
        </is>
      </c>
      <c r="G22" t="inlineStr">
        <is>
          <t>MALÅ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46266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45238</v>
      </c>
      <c r="E24" s="1" t="n">
        <v>46266</v>
      </c>
      <c r="F24" t="inlineStr">
        <is>
          <t>VÄSTERBOTTENS LÄN</t>
        </is>
      </c>
      <c r="G24" t="inlineStr">
        <is>
          <t>MALÅ</t>
        </is>
      </c>
      <c r="H24" t="inlineStr">
        <is>
          <t>SCA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46266</v>
      </c>
      <c r="F25" t="inlineStr">
        <is>
          <t>VÄSTERBOTTENS LÄN</t>
        </is>
      </c>
      <c r="G25" t="inlineStr">
        <is>
          <t>MALÅ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46266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36687-2023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45152</v>
      </c>
      <c r="E27" s="1" t="n">
        <v>46266</v>
      </c>
      <c r="F27" t="inlineStr">
        <is>
          <t>VÄSTERBOTTENS LÄN</t>
        </is>
      </c>
      <c r="G27" t="inlineStr">
        <is>
          <t>MALÅ</t>
        </is>
      </c>
      <c r="I27" t="n">
        <v>13.3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46266</v>
      </c>
      <c r="F28" t="inlineStr">
        <is>
          <t>VÄSTERBOTTENS LÄN</t>
        </is>
      </c>
      <c r="G28" t="inlineStr">
        <is>
          <t>MALÅ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46266</v>
      </c>
      <c r="F29" t="inlineStr">
        <is>
          <t>VÄSTERBOTTENS LÄN</t>
        </is>
      </c>
      <c r="G29" t="inlineStr">
        <is>
          <t>MALÅ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48034-2025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45932</v>
      </c>
      <c r="E30" s="1" t="n">
        <v>46266</v>
      </c>
      <c r="F30" t="inlineStr">
        <is>
          <t>VÄSTERBOTTENS LÄN</t>
        </is>
      </c>
      <c r="G30" t="inlineStr">
        <is>
          <t>MALÅ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48058-2025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45932</v>
      </c>
      <c r="E31" s="1" t="n">
        <v>46266</v>
      </c>
      <c r="F31" t="inlineStr">
        <is>
          <t>VÄSTERBOTTENS LÄN</t>
        </is>
      </c>
      <c r="G31" t="inlineStr">
        <is>
          <t>MALÅ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29450-2024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46266</v>
      </c>
      <c r="F32" t="inlineStr">
        <is>
          <t>VÄSTERBOTTENS LÄN</t>
        </is>
      </c>
      <c r="G32" t="inlineStr">
        <is>
          <t>MALÅ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58838-2024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46266</v>
      </c>
      <c r="F33" t="inlineStr">
        <is>
          <t>VÄSTERBOTTENS LÄN</t>
        </is>
      </c>
      <c r="G33" t="inlineStr">
        <is>
          <t>MALÅ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60168-2024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45639</v>
      </c>
      <c r="E34" s="1" t="n">
        <v>46266</v>
      </c>
      <c r="F34" t="inlineStr">
        <is>
          <t>VÄSTERBOTTENS LÄN</t>
        </is>
      </c>
      <c r="G34" t="inlineStr">
        <is>
          <t>MALÅ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13432-2025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46266</v>
      </c>
      <c r="F35" t="inlineStr">
        <is>
          <t>VÄSTERBOTTENS LÄN</t>
        </is>
      </c>
      <c r="G35" t="inlineStr">
        <is>
          <t>MALÅ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36695-2023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46266</v>
      </c>
      <c r="F36" t="inlineStr">
        <is>
          <t>VÄSTERBOTTENS LÄN</t>
        </is>
      </c>
      <c r="G36" t="inlineStr">
        <is>
          <t>MALÅ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37535-2023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45158</v>
      </c>
      <c r="E37" s="1" t="n">
        <v>46266</v>
      </c>
      <c r="F37" t="inlineStr">
        <is>
          <t>VÄSTERBOTTENS LÄN</t>
        </is>
      </c>
      <c r="G37" t="inlineStr">
        <is>
          <t>MALÅ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46063-2023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46266</v>
      </c>
      <c r="F38" t="inlineStr">
        <is>
          <t>VÄSTERBOTTENS LÄN</t>
        </is>
      </c>
      <c r="G38" t="inlineStr">
        <is>
          <t>MALÅ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23631-2024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45454</v>
      </c>
      <c r="E39" s="1" t="n">
        <v>46266</v>
      </c>
      <c r="F39" t="inlineStr">
        <is>
          <t>VÄSTERBOTTENS LÄN</t>
        </is>
      </c>
      <c r="G39" t="inlineStr">
        <is>
          <t>MALÅ</t>
        </is>
      </c>
      <c r="I39" t="n">
        <v>9.4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41792-2023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45176</v>
      </c>
      <c r="E40" s="1" t="n">
        <v>46266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10.7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46266</v>
      </c>
      <c r="F41" t="inlineStr">
        <is>
          <t>VÄSTERBOTTENS LÄN</t>
        </is>
      </c>
      <c r="G41" t="inlineStr">
        <is>
          <t>MALÅ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48572-2023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45202</v>
      </c>
      <c r="E42" s="1" t="n">
        <v>46266</v>
      </c>
      <c r="F42" t="inlineStr">
        <is>
          <t>VÄSTERBOTTENS LÄN</t>
        </is>
      </c>
      <c r="G42" t="inlineStr">
        <is>
          <t>MALÅ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48994-2025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45937</v>
      </c>
      <c r="E43" s="1" t="n">
        <v>46266</v>
      </c>
      <c r="F43" t="inlineStr">
        <is>
          <t>VÄSTERBOTTENS LÄN</t>
        </is>
      </c>
      <c r="G43" t="inlineStr">
        <is>
          <t>MALÅ</t>
        </is>
      </c>
      <c r="H43" t="inlineStr">
        <is>
          <t>Sveaskog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46266</v>
      </c>
      <c r="F44" t="inlineStr">
        <is>
          <t>VÄSTERBOTTENS LÄN</t>
        </is>
      </c>
      <c r="G44" t="inlineStr">
        <is>
          <t>MALÅ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45166</v>
      </c>
      <c r="E45" s="1" t="n">
        <v>46266</v>
      </c>
      <c r="F45" t="inlineStr">
        <is>
          <t>VÄSTERBOTTENS LÄN</t>
        </is>
      </c>
      <c r="G45" t="inlineStr">
        <is>
          <t>MALÅ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57499-2022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46266</v>
      </c>
      <c r="F46" t="inlineStr">
        <is>
          <t>VÄSTERBOTTENS LÄN</t>
        </is>
      </c>
      <c r="G46" t="inlineStr">
        <is>
          <t>MALÅ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45939</v>
      </c>
      <c r="E47" s="1" t="n">
        <v>46266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45789-2023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46266</v>
      </c>
      <c r="F48" t="inlineStr">
        <is>
          <t>VÄSTERBOTTENS LÄN</t>
        </is>
      </c>
      <c r="G48" t="inlineStr">
        <is>
          <t>MALÅ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46266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48348-2023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45201</v>
      </c>
      <c r="E50" s="1" t="n">
        <v>46266</v>
      </c>
      <c r="F50" t="inlineStr">
        <is>
          <t>VÄSTERBOTTENS LÄN</t>
        </is>
      </c>
      <c r="G50" t="inlineStr">
        <is>
          <t>MALÅ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46989-2023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45201</v>
      </c>
      <c r="E51" s="1" t="n">
        <v>46266</v>
      </c>
      <c r="F51" t="inlineStr">
        <is>
          <t>VÄSTERBOTTENS LÄN</t>
        </is>
      </c>
      <c r="G51" t="inlineStr">
        <is>
          <t>MALÅ</t>
        </is>
      </c>
      <c r="I51" t="n">
        <v>22.9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59801-2021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44491</v>
      </c>
      <c r="E52" s="1" t="n">
        <v>46266</v>
      </c>
      <c r="F52" t="inlineStr">
        <is>
          <t>VÄSTERBOTTENS LÄN</t>
        </is>
      </c>
      <c r="G52" t="inlineStr">
        <is>
          <t>MALÅ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45939</v>
      </c>
      <c r="E53" s="1" t="n">
        <v>46266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46280-2023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45195</v>
      </c>
      <c r="E54" s="1" t="n">
        <v>46266</v>
      </c>
      <c r="F54" t="inlineStr">
        <is>
          <t>VÄSTERBOTTENS LÄN</t>
        </is>
      </c>
      <c r="G54" t="inlineStr">
        <is>
          <t>MALÅ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45938</v>
      </c>
      <c r="E55" s="1" t="n">
        <v>46266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7.5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46266</v>
      </c>
      <c r="F56" t="inlineStr">
        <is>
          <t>VÄSTERBOTTENS LÄN</t>
        </is>
      </c>
      <c r="G56" t="inlineStr">
        <is>
          <t>MALÅ</t>
        </is>
      </c>
      <c r="H56" t="inlineStr">
        <is>
          <t>SCA</t>
        </is>
      </c>
      <c r="I56" t="n">
        <v>11.7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39622-2025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46266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39614-2025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46266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46266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46266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45516</v>
      </c>
      <c r="E61" s="1" t="n">
        <v>46266</v>
      </c>
      <c r="F61" t="inlineStr">
        <is>
          <t>VÄSTERBOTTENS LÄN</t>
        </is>
      </c>
      <c r="G61" t="inlineStr">
        <is>
          <t>MALÅ</t>
        </is>
      </c>
      <c r="I61" t="n">
        <v>15.5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45502</v>
      </c>
      <c r="E62" s="1" t="n">
        <v>46266</v>
      </c>
      <c r="F62" t="inlineStr">
        <is>
          <t>VÄSTERBOTTENS LÄN</t>
        </is>
      </c>
      <c r="G62" t="inlineStr">
        <is>
          <t>MALÅ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46266</v>
      </c>
      <c r="F63" t="inlineStr">
        <is>
          <t>VÄSTERBOTTENS LÄN</t>
        </is>
      </c>
      <c r="G63" t="inlineStr">
        <is>
          <t>MALÅ</t>
        </is>
      </c>
      <c r="I63" t="n">
        <v>8.9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49207-2025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45938</v>
      </c>
      <c r="E64" s="1" t="n">
        <v>46266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45152</v>
      </c>
      <c r="E65" s="1" t="n">
        <v>46266</v>
      </c>
      <c r="F65" t="inlineStr">
        <is>
          <t>VÄSTERBOTTENS LÄN</t>
        </is>
      </c>
      <c r="G65" t="inlineStr">
        <is>
          <t>MALÅ</t>
        </is>
      </c>
      <c r="I65" t="n">
        <v>16.6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46266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45901</v>
      </c>
      <c r="E67" s="1" t="n">
        <v>46266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40943-2025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45897</v>
      </c>
      <c r="E68" s="1" t="n">
        <v>46266</v>
      </c>
      <c r="F68" t="inlineStr">
        <is>
          <t>VÄSTERBOTTENS LÄN</t>
        </is>
      </c>
      <c r="G68" t="inlineStr">
        <is>
          <t>MALÅ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46266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22.4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43952-2023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45187</v>
      </c>
      <c r="E70" s="1" t="n">
        <v>46266</v>
      </c>
      <c r="F70" t="inlineStr">
        <is>
          <t>VÄSTERBOTTENS LÄN</t>
        </is>
      </c>
      <c r="G70" t="inlineStr">
        <is>
          <t>MALÅ</t>
        </is>
      </c>
      <c r="H70" t="inlineStr">
        <is>
          <t>SCA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46266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24924-2025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46266</v>
      </c>
      <c r="F72" t="inlineStr">
        <is>
          <t>VÄSTERBOTTENS LÄN</t>
        </is>
      </c>
      <c r="G72" t="inlineStr">
        <is>
          <t>MALÅ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47797-2021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46266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46266</v>
      </c>
      <c r="F74" t="inlineStr">
        <is>
          <t>VÄSTERBOTTENS LÄN</t>
        </is>
      </c>
      <c r="G74" t="inlineStr">
        <is>
          <t>MALÅ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24681-2025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46266</v>
      </c>
      <c r="F75" t="inlineStr">
        <is>
          <t>VÄSTERBOTTENS LÄN</t>
        </is>
      </c>
      <c r="G75" t="inlineStr">
        <is>
          <t>MALÅ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45102-2023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45190</v>
      </c>
      <c r="E76" s="1" t="n">
        <v>46266</v>
      </c>
      <c r="F76" t="inlineStr">
        <is>
          <t>VÄSTERBOTTENS LÄN</t>
        </is>
      </c>
      <c r="G76" t="inlineStr">
        <is>
          <t>MALÅ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44792</v>
      </c>
      <c r="E77" s="1" t="n">
        <v>46266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68036-2021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46266</v>
      </c>
      <c r="F78" t="inlineStr">
        <is>
          <t>VÄSTERBOTTENS LÄN</t>
        </is>
      </c>
      <c r="G78" t="inlineStr">
        <is>
          <t>MALÅ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46266</v>
      </c>
      <c r="F79" t="inlineStr">
        <is>
          <t>VÄSTERBOTTENS LÄN</t>
        </is>
      </c>
      <c r="G79" t="inlineStr">
        <is>
          <t>MALÅ</t>
        </is>
      </c>
      <c r="I79" t="n">
        <v>10.5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26892-2022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44740</v>
      </c>
      <c r="E80" s="1" t="n">
        <v>46266</v>
      </c>
      <c r="F80" t="inlineStr">
        <is>
          <t>VÄSTERBOTTENS LÄN</t>
        </is>
      </c>
      <c r="G80" t="inlineStr">
        <is>
          <t>MALÅ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43501-2023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45184</v>
      </c>
      <c r="E81" s="1" t="n">
        <v>46266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46266</v>
      </c>
      <c r="F82" t="inlineStr">
        <is>
          <t>VÄSTERBOTTENS LÄN</t>
        </is>
      </c>
      <c r="G82" t="inlineStr">
        <is>
          <t>MALÅ</t>
        </is>
      </c>
      <c r="H82" t="inlineStr">
        <is>
          <t>SCA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46266</v>
      </c>
      <c r="F83" t="inlineStr">
        <is>
          <t>VÄSTERBOTTENS LÄN</t>
        </is>
      </c>
      <c r="G83" t="inlineStr">
        <is>
          <t>MALÅ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46266</v>
      </c>
      <c r="F84" t="inlineStr">
        <is>
          <t>VÄSTERBOTTENS LÄN</t>
        </is>
      </c>
      <c r="G84" t="inlineStr">
        <is>
          <t>MALÅ</t>
        </is>
      </c>
      <c r="I84" t="n">
        <v>11.4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45688</v>
      </c>
      <c r="E85" s="1" t="n">
        <v>46266</v>
      </c>
      <c r="F85" t="inlineStr">
        <is>
          <t>VÄSTERBOTTENS LÄN</t>
        </is>
      </c>
      <c r="G85" t="inlineStr">
        <is>
          <t>MALÅ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52270-2023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46266</v>
      </c>
      <c r="F86" t="inlineStr">
        <is>
          <t>VÄSTERBOTTENS LÄN</t>
        </is>
      </c>
      <c r="G86" t="inlineStr">
        <is>
          <t>MALÅ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46266</v>
      </c>
      <c r="F87" t="inlineStr">
        <is>
          <t>VÄSTERBOTTENS LÄN</t>
        </is>
      </c>
      <c r="G87" t="inlineStr">
        <is>
          <t>MALÅ</t>
        </is>
      </c>
      <c r="H87" t="inlineStr">
        <is>
          <t>Kyrkan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46266</v>
      </c>
      <c r="F88" t="inlineStr">
        <is>
          <t>VÄSTERBOTTENS LÄN</t>
        </is>
      </c>
      <c r="G88" t="inlineStr">
        <is>
          <t>MALÅ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46266</v>
      </c>
      <c r="F89" t="inlineStr">
        <is>
          <t>VÄSTERBOTTENS LÄN</t>
        </is>
      </c>
      <c r="G89" t="inlineStr">
        <is>
          <t>MALÅ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20234-2023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45054</v>
      </c>
      <c r="E90" s="1" t="n">
        <v>46266</v>
      </c>
      <c r="F90" t="inlineStr">
        <is>
          <t>VÄSTERBOTTENS LÄN</t>
        </is>
      </c>
      <c r="G90" t="inlineStr">
        <is>
          <t>MALÅ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45952</v>
      </c>
      <c r="E91" s="1" t="n">
        <v>46266</v>
      </c>
      <c r="F91" t="inlineStr">
        <is>
          <t>VÄSTERBOTTENS LÄN</t>
        </is>
      </c>
      <c r="G91" t="inlineStr">
        <is>
          <t>MALÅ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46266</v>
      </c>
      <c r="F92" t="inlineStr">
        <is>
          <t>VÄSTERBOTTENS LÄN</t>
        </is>
      </c>
      <c r="G92" t="inlineStr">
        <is>
          <t>MALÅ</t>
        </is>
      </c>
      <c r="H92" t="inlineStr">
        <is>
          <t>SCA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45719</v>
      </c>
      <c r="E93" s="1" t="n">
        <v>46266</v>
      </c>
      <c r="F93" t="inlineStr">
        <is>
          <t>VÄSTERBOTTENS LÄN</t>
        </is>
      </c>
      <c r="G93" t="inlineStr">
        <is>
          <t>MALÅ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46266</v>
      </c>
      <c r="F94" t="inlineStr">
        <is>
          <t>VÄSTERBOTTENS LÄN</t>
        </is>
      </c>
      <c r="G94" t="inlineStr">
        <is>
          <t>MALÅ</t>
        </is>
      </c>
      <c r="H94" t="inlineStr">
        <is>
          <t>SCA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56997-2023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46266</v>
      </c>
      <c r="F95" t="inlineStr">
        <is>
          <t>VÄSTERBOTTENS LÄN</t>
        </is>
      </c>
      <c r="G95" t="inlineStr">
        <is>
          <t>MALÅ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46266</v>
      </c>
      <c r="F96" t="inlineStr">
        <is>
          <t>VÄSTERBOTTENS LÄN</t>
        </is>
      </c>
      <c r="G96" t="inlineStr">
        <is>
          <t>MALÅ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46266</v>
      </c>
      <c r="F97" t="inlineStr">
        <is>
          <t>VÄSTERBOTTENS LÄN</t>
        </is>
      </c>
      <c r="G97" t="inlineStr">
        <is>
          <t>MALÅ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15847-2023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45022</v>
      </c>
      <c r="E98" s="1" t="n">
        <v>46266</v>
      </c>
      <c r="F98" t="inlineStr">
        <is>
          <t>VÄSTERBOTTENS LÄN</t>
        </is>
      </c>
      <c r="G98" t="inlineStr">
        <is>
          <t>MALÅ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15850-2023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45022</v>
      </c>
      <c r="E99" s="1" t="n">
        <v>46266</v>
      </c>
      <c r="F99" t="inlineStr">
        <is>
          <t>VÄSTERBOTTENS LÄN</t>
        </is>
      </c>
      <c r="G99" t="inlineStr">
        <is>
          <t>MALÅ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46266</v>
      </c>
      <c r="F100" t="inlineStr">
        <is>
          <t>VÄSTERBOTTENS LÄN</t>
        </is>
      </c>
      <c r="G100" t="inlineStr">
        <is>
          <t>MALÅ</t>
        </is>
      </c>
      <c r="I100" t="n">
        <v>18.6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51936-2025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46266</v>
      </c>
      <c r="F101" t="inlineStr">
        <is>
          <t>VÄSTERBOTTENS LÄN</t>
        </is>
      </c>
      <c r="G101" t="inlineStr">
        <is>
          <t>MALÅ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46266</v>
      </c>
      <c r="F102" t="inlineStr">
        <is>
          <t>VÄSTERBOTTENS LÄN</t>
        </is>
      </c>
      <c r="G102" t="inlineStr">
        <is>
          <t>MALÅ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46266</v>
      </c>
      <c r="F103" t="inlineStr">
        <is>
          <t>VÄSTERBOTTENS LÄN</t>
        </is>
      </c>
      <c r="G103" t="inlineStr">
        <is>
          <t>MALÅ</t>
        </is>
      </c>
      <c r="H103" t="inlineStr">
        <is>
          <t>SCA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46266</v>
      </c>
      <c r="F104" t="inlineStr">
        <is>
          <t>VÄSTERBOTTENS LÄN</t>
        </is>
      </c>
      <c r="G104" t="inlineStr">
        <is>
          <t>MALÅ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45860</v>
      </c>
      <c r="E105" s="1" t="n">
        <v>46266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45861</v>
      </c>
      <c r="E106" s="1" t="n">
        <v>46266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8.4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45861</v>
      </c>
      <c r="E107" s="1" t="n">
        <v>46266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45860</v>
      </c>
      <c r="E108" s="1" t="n">
        <v>46266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45861</v>
      </c>
      <c r="E109" s="1" t="n">
        <v>46266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46266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45861</v>
      </c>
      <c r="E111" s="1" t="n">
        <v>46266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36286-2025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45867</v>
      </c>
      <c r="E112" s="1" t="n">
        <v>46266</v>
      </c>
      <c r="F112" t="inlineStr">
        <is>
          <t>VÄSTERBOTTENS LÄN</t>
        </is>
      </c>
      <c r="G112" t="inlineStr">
        <is>
          <t>MALÅ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45225</v>
      </c>
      <c r="E113" s="1" t="n">
        <v>46266</v>
      </c>
      <c r="F113" t="inlineStr">
        <is>
          <t>VÄSTERBOTTENS LÄN</t>
        </is>
      </c>
      <c r="G113" t="inlineStr">
        <is>
          <t>MALÅ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45179</v>
      </c>
      <c r="E114" s="1" t="n">
        <v>46266</v>
      </c>
      <c r="F114" t="inlineStr">
        <is>
          <t>VÄSTERBOTTENS LÄN</t>
        </is>
      </c>
      <c r="G114" t="inlineStr">
        <is>
          <t>MALÅ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59067-2023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45252</v>
      </c>
      <c r="E115" s="1" t="n">
        <v>46266</v>
      </c>
      <c r="F115" t="inlineStr">
        <is>
          <t>VÄSTERBOTTENS LÄN</t>
        </is>
      </c>
      <c r="G115" t="inlineStr">
        <is>
          <t>MALÅ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46266</v>
      </c>
      <c r="F116" t="inlineStr">
        <is>
          <t>VÄSTERBOTTENS LÄN</t>
        </is>
      </c>
      <c r="G116" t="inlineStr">
        <is>
          <t>MALÅ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46266</v>
      </c>
      <c r="F117" t="inlineStr">
        <is>
          <t>VÄSTERBOTTENS LÄN</t>
        </is>
      </c>
      <c r="G117" t="inlineStr">
        <is>
          <t>MALÅ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44426-2023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45188</v>
      </c>
      <c r="E118" s="1" t="n">
        <v>46266</v>
      </c>
      <c r="F118" t="inlineStr">
        <is>
          <t>VÄSTERBOTTENS LÄN</t>
        </is>
      </c>
      <c r="G118" t="inlineStr">
        <is>
          <t>MALÅ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46266</v>
      </c>
      <c r="F119" t="inlineStr">
        <is>
          <t>VÄSTERBOTTENS LÄN</t>
        </is>
      </c>
      <c r="G119" t="inlineStr">
        <is>
          <t>MALÅ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46266</v>
      </c>
      <c r="F120" t="inlineStr">
        <is>
          <t>VÄSTERBOTTENS LÄN</t>
        </is>
      </c>
      <c r="G120" t="inlineStr">
        <is>
          <t>MALÅ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44893</v>
      </c>
      <c r="E121" s="1" t="n">
        <v>46266</v>
      </c>
      <c r="F121" t="inlineStr">
        <is>
          <t>VÄSTERBOTTENS LÄN</t>
        </is>
      </c>
      <c r="G121" t="inlineStr">
        <is>
          <t>MALÅ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45178</v>
      </c>
      <c r="E122" s="1" t="n">
        <v>46266</v>
      </c>
      <c r="F122" t="inlineStr">
        <is>
          <t>VÄSTERBOTTENS LÄN</t>
        </is>
      </c>
      <c r="G122" t="inlineStr">
        <is>
          <t>MALÅ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46266</v>
      </c>
      <c r="F123" t="inlineStr">
        <is>
          <t>VÄSTERBOTTENS LÄN</t>
        </is>
      </c>
      <c r="G123" t="inlineStr">
        <is>
          <t>MALÅ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46266</v>
      </c>
      <c r="F124" t="inlineStr">
        <is>
          <t>VÄSTERBOTTENS LÄN</t>
        </is>
      </c>
      <c r="G124" t="inlineStr">
        <is>
          <t>MALÅ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46266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46266</v>
      </c>
      <c r="F126" t="inlineStr">
        <is>
          <t>VÄSTERBOTTENS LÄN</t>
        </is>
      </c>
      <c r="G126" t="inlineStr">
        <is>
          <t>MALÅ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46266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46266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46266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54463-2025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45964</v>
      </c>
      <c r="E130" s="1" t="n">
        <v>46266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54455-2025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45964</v>
      </c>
      <c r="E131" s="1" t="n">
        <v>46266</v>
      </c>
      <c r="F131" t="inlineStr">
        <is>
          <t>VÄSTERBOTTENS LÄN</t>
        </is>
      </c>
      <c r="G131" t="inlineStr">
        <is>
          <t>MALÅ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46266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46266</v>
      </c>
      <c r="F133" t="inlineStr">
        <is>
          <t>VÄSTERBOTTENS LÄN</t>
        </is>
      </c>
      <c r="G133" t="inlineStr">
        <is>
          <t>MALÅ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45166</v>
      </c>
      <c r="E134" s="1" t="n">
        <v>46266</v>
      </c>
      <c r="F134" t="inlineStr">
        <is>
          <t>VÄSTERBOTTENS LÄN</t>
        </is>
      </c>
      <c r="G134" t="inlineStr">
        <is>
          <t>MALÅ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46266</v>
      </c>
      <c r="F135" t="inlineStr">
        <is>
          <t>VÄSTERBOTTENS LÄN</t>
        </is>
      </c>
      <c r="G135" t="inlineStr">
        <is>
          <t>MALÅ</t>
        </is>
      </c>
      <c r="I135" t="n">
        <v>10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45152</v>
      </c>
      <c r="E136" s="1" t="n">
        <v>46266</v>
      </c>
      <c r="F136" t="inlineStr">
        <is>
          <t>VÄSTERBOTTENS LÄN</t>
        </is>
      </c>
      <c r="G136" t="inlineStr">
        <is>
          <t>MALÅ</t>
        </is>
      </c>
      <c r="I136" t="n">
        <v>41.7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46266</v>
      </c>
      <c r="F137" t="inlineStr">
        <is>
          <t>VÄSTERBOTTENS LÄN</t>
        </is>
      </c>
      <c r="G137" t="inlineStr">
        <is>
          <t>MALÅ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45625</v>
      </c>
      <c r="E138" s="1" t="n">
        <v>46266</v>
      </c>
      <c r="F138" t="inlineStr">
        <is>
          <t>VÄSTERBOTTENS LÄN</t>
        </is>
      </c>
      <c r="G138" t="inlineStr">
        <is>
          <t>MALÅ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46266</v>
      </c>
      <c r="F139" t="inlineStr">
        <is>
          <t>VÄSTERBOTTENS LÄN</t>
        </is>
      </c>
      <c r="G139" t="inlineStr">
        <is>
          <t>MALÅ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46266</v>
      </c>
      <c r="F140" t="inlineStr">
        <is>
          <t>VÄSTERBOTTENS LÄN</t>
        </is>
      </c>
      <c r="G140" t="inlineStr">
        <is>
          <t>MALÅ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46266</v>
      </c>
      <c r="F141" t="inlineStr">
        <is>
          <t>VÄSTERBOTTENS LÄN</t>
        </is>
      </c>
      <c r="G141" t="inlineStr">
        <is>
          <t>MALÅ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45159</v>
      </c>
      <c r="E142" s="1" t="n">
        <v>46266</v>
      </c>
      <c r="F142" t="inlineStr">
        <is>
          <t>VÄSTERBOTTENS LÄN</t>
        </is>
      </c>
      <c r="G142" t="inlineStr">
        <is>
          <t>MALÅ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46266</v>
      </c>
      <c r="F143" t="inlineStr">
        <is>
          <t>VÄSTERBOTTENS LÄN</t>
        </is>
      </c>
      <c r="G143" t="inlineStr">
        <is>
          <t>MALÅ</t>
        </is>
      </c>
      <c r="H143" t="inlineStr">
        <is>
          <t>SCA</t>
        </is>
      </c>
      <c r="I143" t="n">
        <v>10.2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46266</v>
      </c>
      <c r="F144" t="inlineStr">
        <is>
          <t>VÄSTERBOTTENS LÄN</t>
        </is>
      </c>
      <c r="G144" t="inlineStr">
        <is>
          <t>MALÅ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46266</v>
      </c>
      <c r="F145" t="inlineStr">
        <is>
          <t>VÄSTERBOTTENS LÄN</t>
        </is>
      </c>
      <c r="G145" t="inlineStr">
        <is>
          <t>MALÅ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46266</v>
      </c>
      <c r="F146" t="inlineStr">
        <is>
          <t>VÄSTERBOTTENS LÄN</t>
        </is>
      </c>
      <c r="G146" t="inlineStr">
        <is>
          <t>MALÅ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46266</v>
      </c>
      <c r="F147" t="inlineStr">
        <is>
          <t>VÄSTERBOTTENS LÄN</t>
        </is>
      </c>
      <c r="G147" t="inlineStr">
        <is>
          <t>MALÅ</t>
        </is>
      </c>
      <c r="I147" t="n">
        <v>20.7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45987</v>
      </c>
      <c r="E148" s="1" t="n">
        <v>46266</v>
      </c>
      <c r="F148" t="inlineStr">
        <is>
          <t>VÄSTERBOTTENS LÄN</t>
        </is>
      </c>
      <c r="G148" t="inlineStr">
        <is>
          <t>MALÅ</t>
        </is>
      </c>
      <c r="I148" t="n">
        <v>19.2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45987</v>
      </c>
      <c r="E149" s="1" t="n">
        <v>46266</v>
      </c>
      <c r="F149" t="inlineStr">
        <is>
          <t>VÄSTERBOTTENS LÄN</t>
        </is>
      </c>
      <c r="G149" t="inlineStr">
        <is>
          <t>MALÅ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46266</v>
      </c>
      <c r="F150" t="inlineStr">
        <is>
          <t>VÄSTERBOTTENS LÄN</t>
        </is>
      </c>
      <c r="G150" t="inlineStr">
        <is>
          <t>MALÅ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46266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46266</v>
      </c>
      <c r="F152" t="inlineStr">
        <is>
          <t>VÄSTERBOTTENS LÄN</t>
        </is>
      </c>
      <c r="G152" t="inlineStr">
        <is>
          <t>MALÅ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46266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46266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46266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46266</v>
      </c>
      <c r="F156" t="inlineStr">
        <is>
          <t>VÄSTERBOTTENS LÄN</t>
        </is>
      </c>
      <c r="G156" t="inlineStr">
        <is>
          <t>MALÅ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46266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46266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46266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45178</v>
      </c>
      <c r="E160" s="1" t="n">
        <v>46266</v>
      </c>
      <c r="F160" t="inlineStr">
        <is>
          <t>VÄSTERBOTTENS LÄN</t>
        </is>
      </c>
      <c r="G160" t="inlineStr">
        <is>
          <t>MALÅ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46266</v>
      </c>
      <c r="F161" t="inlineStr">
        <is>
          <t>VÄSTERBOTTENS LÄN</t>
        </is>
      </c>
      <c r="G161" t="inlineStr">
        <is>
          <t>MALÅ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46266</v>
      </c>
      <c r="F162" t="inlineStr">
        <is>
          <t>VÄSTERBOTTENS LÄN</t>
        </is>
      </c>
      <c r="G162" t="inlineStr">
        <is>
          <t>MALÅ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46266</v>
      </c>
      <c r="F163" t="inlineStr">
        <is>
          <t>VÄSTERBOTTENS LÄN</t>
        </is>
      </c>
      <c r="G163" t="inlineStr">
        <is>
          <t>MALÅ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36054-2023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45148</v>
      </c>
      <c r="E164" s="1" t="n">
        <v>46266</v>
      </c>
      <c r="F164" t="inlineStr">
        <is>
          <t>VÄSTERBOTTENS LÄN</t>
        </is>
      </c>
      <c r="G164" t="inlineStr">
        <is>
          <t>MALÅ</t>
        </is>
      </c>
      <c r="I164" t="n">
        <v>16.2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46266</v>
      </c>
      <c r="F165" t="inlineStr">
        <is>
          <t>VÄSTERBOTTENS LÄN</t>
        </is>
      </c>
      <c r="G165" t="inlineStr">
        <is>
          <t>MALÅ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45166</v>
      </c>
      <c r="E166" s="1" t="n">
        <v>46266</v>
      </c>
      <c r="F166" t="inlineStr">
        <is>
          <t>VÄSTERBOTTENS LÄN</t>
        </is>
      </c>
      <c r="G166" t="inlineStr">
        <is>
          <t>MALÅ</t>
        </is>
      </c>
      <c r="H166" t="inlineStr">
        <is>
          <t>Kyrkan</t>
        </is>
      </c>
      <c r="I166" t="n">
        <v>84.5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46266</v>
      </c>
      <c r="F167" t="inlineStr">
        <is>
          <t>VÄSTERBOTTENS LÄN</t>
        </is>
      </c>
      <c r="G167" t="inlineStr">
        <is>
          <t>MALÅ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54198-2025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46266</v>
      </c>
      <c r="F168" t="inlineStr">
        <is>
          <t>VÄSTERBOTTENS LÄN</t>
        </is>
      </c>
      <c r="G168" t="inlineStr">
        <is>
          <t>MALÅ</t>
        </is>
      </c>
      <c r="I168" t="n">
        <v>19.5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46266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46266</v>
      </c>
      <c r="F170" t="inlineStr">
        <is>
          <t>VÄSTERBOTTENS LÄN</t>
        </is>
      </c>
      <c r="G170" t="inlineStr">
        <is>
          <t>MALÅ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46266</v>
      </c>
      <c r="F171" t="inlineStr">
        <is>
          <t>VÄSTERBOTTENS LÄN</t>
        </is>
      </c>
      <c r="G171" t="inlineStr">
        <is>
          <t>MALÅ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46266</v>
      </c>
      <c r="F172" t="inlineStr">
        <is>
          <t>VÄSTERBOTTENS LÄN</t>
        </is>
      </c>
      <c r="G172" t="inlineStr">
        <is>
          <t>MALÅ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45154</v>
      </c>
      <c r="E173" s="1" t="n">
        <v>46266</v>
      </c>
      <c r="F173" t="inlineStr">
        <is>
          <t>VÄSTERBOTTENS LÄN</t>
        </is>
      </c>
      <c r="G173" t="inlineStr">
        <is>
          <t>MALÅ</t>
        </is>
      </c>
      <c r="I173" t="n">
        <v>73.7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46266</v>
      </c>
      <c r="F174" t="inlineStr">
        <is>
          <t>VÄSTERBOTTENS LÄN</t>
        </is>
      </c>
      <c r="G174" t="inlineStr">
        <is>
          <t>MALÅ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46266</v>
      </c>
      <c r="F175" t="inlineStr">
        <is>
          <t>VÄSTERBOTTENS LÄN</t>
        </is>
      </c>
      <c r="G175" t="inlineStr">
        <is>
          <t>MALÅ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45222</v>
      </c>
      <c r="E176" s="1" t="n">
        <v>46266</v>
      </c>
      <c r="F176" t="inlineStr">
        <is>
          <t>VÄSTERBOTTENS LÄN</t>
        </is>
      </c>
      <c r="G176" t="inlineStr">
        <is>
          <t>MALÅ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46266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46266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18.2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45201</v>
      </c>
      <c r="E179" s="1" t="n">
        <v>46266</v>
      </c>
      <c r="F179" t="inlineStr">
        <is>
          <t>VÄSTERBOTTENS LÄN</t>
        </is>
      </c>
      <c r="G179" t="inlineStr">
        <is>
          <t>MALÅ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44939</v>
      </c>
      <c r="E180" s="1" t="n">
        <v>46266</v>
      </c>
      <c r="F180" t="inlineStr">
        <is>
          <t>VÄSTERBOTTENS LÄN</t>
        </is>
      </c>
      <c r="G180" t="inlineStr">
        <is>
          <t>MALÅ</t>
        </is>
      </c>
      <c r="H180" t="inlineStr">
        <is>
          <t>SCA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46266</v>
      </c>
      <c r="F181" t="inlineStr">
        <is>
          <t>VÄSTERBOTTENS LÄN</t>
        </is>
      </c>
      <c r="G181" t="inlineStr">
        <is>
          <t>MALÅ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46027</v>
      </c>
      <c r="E182" s="1" t="n">
        <v>46266</v>
      </c>
      <c r="F182" t="inlineStr">
        <is>
          <t>VÄSTERBOTTENS LÄN</t>
        </is>
      </c>
      <c r="G182" t="inlineStr">
        <is>
          <t>MALÅ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46266</v>
      </c>
      <c r="F183" t="inlineStr">
        <is>
          <t>VÄSTERBOTTENS LÄN</t>
        </is>
      </c>
      <c r="G183" t="inlineStr">
        <is>
          <t>MALÅ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46266</v>
      </c>
      <c r="F184" t="inlineStr">
        <is>
          <t>VÄSTERBOTTENS LÄN</t>
        </is>
      </c>
      <c r="G184" t="inlineStr">
        <is>
          <t>MALÅ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46266</v>
      </c>
      <c r="F185" t="inlineStr">
        <is>
          <t>VÄSTERBOTTENS LÄN</t>
        </is>
      </c>
      <c r="G185" t="inlineStr">
        <is>
          <t>MALÅ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46266</v>
      </c>
      <c r="F186" t="inlineStr">
        <is>
          <t>VÄSTERBOTTENS LÄN</t>
        </is>
      </c>
      <c r="G186" t="inlineStr">
        <is>
          <t>MALÅ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46266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46266</v>
      </c>
      <c r="F188" t="inlineStr">
        <is>
          <t>VÄSTERBOTTENS LÄN</t>
        </is>
      </c>
      <c r="G188" t="inlineStr">
        <is>
          <t>MALÅ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45111</v>
      </c>
      <c r="E189" s="1" t="n">
        <v>46266</v>
      </c>
      <c r="F189" t="inlineStr">
        <is>
          <t>VÄSTERBOTTENS LÄN</t>
        </is>
      </c>
      <c r="G189" t="inlineStr">
        <is>
          <t>MALÅ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46042</v>
      </c>
      <c r="E190" s="1" t="n">
        <v>46266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46266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46266</v>
      </c>
      <c r="F192" t="inlineStr">
        <is>
          <t>VÄSTERBOTTENS LÄN</t>
        </is>
      </c>
      <c r="G192" t="inlineStr">
        <is>
          <t>MALÅ</t>
        </is>
      </c>
      <c r="I192" t="n">
        <v>147.1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46266</v>
      </c>
      <c r="F193" t="inlineStr">
        <is>
          <t>VÄSTERBOTTENS LÄN</t>
        </is>
      </c>
      <c r="G193" t="inlineStr">
        <is>
          <t>MALÅ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46266</v>
      </c>
      <c r="F194" t="inlineStr">
        <is>
          <t>VÄSTERBOTTENS LÄN</t>
        </is>
      </c>
      <c r="G194" t="inlineStr">
        <is>
          <t>MALÅ</t>
        </is>
      </c>
      <c r="I194" t="n">
        <v>15.7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46266</v>
      </c>
      <c r="F195" t="inlineStr">
        <is>
          <t>VÄSTERBOTTENS LÄN</t>
        </is>
      </c>
      <c r="G195" t="inlineStr">
        <is>
          <t>MALÅ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46266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46266</v>
      </c>
      <c r="F197" t="inlineStr">
        <is>
          <t>VÄSTERBOTTENS LÄN</t>
        </is>
      </c>
      <c r="G197" t="inlineStr">
        <is>
          <t>MALÅ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46266</v>
      </c>
      <c r="F198" t="inlineStr">
        <is>
          <t>VÄSTERBOTTENS LÄN</t>
        </is>
      </c>
      <c r="G198" t="inlineStr">
        <is>
          <t>MALÅ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46266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46266</v>
      </c>
      <c r="F200" t="inlineStr">
        <is>
          <t>VÄSTERBOTTENS LÄN</t>
        </is>
      </c>
      <c r="G200" t="inlineStr">
        <is>
          <t>MALÅ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46266</v>
      </c>
      <c r="F201" t="inlineStr">
        <is>
          <t>VÄSTERBOTTENS LÄN</t>
        </is>
      </c>
      <c r="G201" t="inlineStr">
        <is>
          <t>MALÅ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46266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46266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8648-2026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46066</v>
      </c>
      <c r="E204" s="1" t="n">
        <v>46266</v>
      </c>
      <c r="F204" t="inlineStr">
        <is>
          <t>VÄSTERBOTTENS LÄN</t>
        </is>
      </c>
      <c r="G204" t="inlineStr">
        <is>
          <t>MALÅ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46266</v>
      </c>
      <c r="F205" t="inlineStr">
        <is>
          <t>VÄSTERBOTTENS LÄN</t>
        </is>
      </c>
      <c r="G205" t="inlineStr">
        <is>
          <t>MALÅ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46266</v>
      </c>
      <c r="F206" t="inlineStr">
        <is>
          <t>VÄSTERBOTTENS LÄN</t>
        </is>
      </c>
      <c r="G206" t="inlineStr">
        <is>
          <t>MALÅ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44575</v>
      </c>
      <c r="E207" s="1" t="n">
        <v>46266</v>
      </c>
      <c r="F207" t="inlineStr">
        <is>
          <t>VÄSTERBOTTENS LÄN</t>
        </is>
      </c>
      <c r="G207" t="inlineStr">
        <is>
          <t>MALÅ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46072</v>
      </c>
      <c r="E208" s="1" t="n">
        <v>46266</v>
      </c>
      <c r="F208" t="inlineStr">
        <is>
          <t>VÄSTERBOTTENS LÄN</t>
        </is>
      </c>
      <c r="G208" t="inlineStr">
        <is>
          <t>MALÅ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46266</v>
      </c>
      <c r="F209" t="inlineStr">
        <is>
          <t>VÄSTERBOTTENS LÄN</t>
        </is>
      </c>
      <c r="G209" t="inlineStr">
        <is>
          <t>MALÅ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46266</v>
      </c>
      <c r="F210" t="inlineStr">
        <is>
          <t>VÄSTERBOTTENS LÄN</t>
        </is>
      </c>
      <c r="G210" t="inlineStr">
        <is>
          <t>MALÅ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45193</v>
      </c>
      <c r="E211" s="1" t="n">
        <v>46266</v>
      </c>
      <c r="F211" t="inlineStr">
        <is>
          <t>VÄSTERBOTTENS LÄN</t>
        </is>
      </c>
      <c r="G211" t="inlineStr">
        <is>
          <t>MALÅ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45384</v>
      </c>
      <c r="E212" s="1" t="n">
        <v>46266</v>
      </c>
      <c r="F212" t="inlineStr">
        <is>
          <t>VÄSTERBOTTENS LÄN</t>
        </is>
      </c>
      <c r="G212" t="inlineStr">
        <is>
          <t>MALÅ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45504</v>
      </c>
      <c r="E213" s="1" t="n">
        <v>46266</v>
      </c>
      <c r="F213" t="inlineStr">
        <is>
          <t>VÄSTERBOTTENS LÄN</t>
        </is>
      </c>
      <c r="G213" t="inlineStr">
        <is>
          <t>MALÅ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46266</v>
      </c>
      <c r="F214" t="inlineStr">
        <is>
          <t>VÄSTERBOTTENS LÄN</t>
        </is>
      </c>
      <c r="G214" t="inlineStr">
        <is>
          <t>MALÅ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45595</v>
      </c>
      <c r="E215" s="1" t="n">
        <v>46266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45148</v>
      </c>
      <c r="E216" s="1" t="n">
        <v>46266</v>
      </c>
      <c r="F216" t="inlineStr">
        <is>
          <t>VÄSTERBOTTENS LÄN</t>
        </is>
      </c>
      <c r="G216" t="inlineStr">
        <is>
          <t>MALÅ</t>
        </is>
      </c>
      <c r="I216" t="n">
        <v>26.3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46266</v>
      </c>
      <c r="F217" t="inlineStr">
        <is>
          <t>VÄSTERBOTTENS LÄN</t>
        </is>
      </c>
      <c r="G217" t="inlineStr">
        <is>
          <t>MALÅ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46266</v>
      </c>
      <c r="F218" t="inlineStr">
        <is>
          <t>VÄSTERBOTTENS LÄN</t>
        </is>
      </c>
      <c r="G218" t="inlineStr">
        <is>
          <t>MALÅ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46266</v>
      </c>
      <c r="F219" t="inlineStr">
        <is>
          <t>VÄSTERBOTTENS LÄN</t>
        </is>
      </c>
      <c r="G219" t="inlineStr">
        <is>
          <t>MALÅ</t>
        </is>
      </c>
      <c r="H219" t="inlineStr">
        <is>
          <t>SCA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45660</v>
      </c>
      <c r="E220" s="1" t="n">
        <v>46266</v>
      </c>
      <c r="F220" t="inlineStr">
        <is>
          <t>VÄSTERBOTTENS LÄN</t>
        </is>
      </c>
      <c r="G220" t="inlineStr">
        <is>
          <t>MALÅ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37678-2023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45156</v>
      </c>
      <c r="E221" s="1" t="n">
        <v>46266</v>
      </c>
      <c r="F221" t="inlineStr">
        <is>
          <t>VÄSTERBOTTENS LÄN</t>
        </is>
      </c>
      <c r="G221" t="inlineStr">
        <is>
          <t>MALÅ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13773-2026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46097</v>
      </c>
      <c r="E222" s="1" t="n">
        <v>46266</v>
      </c>
      <c r="F222" t="inlineStr">
        <is>
          <t>VÄSTERBOTTENS LÄN</t>
        </is>
      </c>
      <c r="G222" t="inlineStr">
        <is>
          <t>MALÅ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46266</v>
      </c>
      <c r="F223" t="inlineStr">
        <is>
          <t>VÄSTERBOTTENS LÄN</t>
        </is>
      </c>
      <c r="G223" t="inlineStr">
        <is>
          <t>MALÅ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46266</v>
      </c>
      <c r="F224" t="inlineStr">
        <is>
          <t>VÄSTERBOTTENS LÄN</t>
        </is>
      </c>
      <c r="G224" t="inlineStr">
        <is>
          <t>MALÅ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46266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45182</v>
      </c>
      <c r="E226" s="1" t="n">
        <v>46266</v>
      </c>
      <c r="F226" t="inlineStr">
        <is>
          <t>VÄSTERBOTTENS LÄN</t>
        </is>
      </c>
      <c r="G226" t="inlineStr">
        <is>
          <t>MALÅ</t>
        </is>
      </c>
      <c r="I226" t="n">
        <v>10.5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60577-2022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44911</v>
      </c>
      <c r="E227" s="1" t="n">
        <v>46266</v>
      </c>
      <c r="F227" t="inlineStr">
        <is>
          <t>VÄSTERBOTTENS LÄN</t>
        </is>
      </c>
      <c r="G227" t="inlineStr">
        <is>
          <t>MALÅ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46266</v>
      </c>
      <c r="F228" t="inlineStr">
        <is>
          <t>VÄSTERBOTTENS LÄN</t>
        </is>
      </c>
      <c r="G228" t="inlineStr">
        <is>
          <t>MALÅ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51357-2023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45219</v>
      </c>
      <c r="E229" s="1" t="n">
        <v>46266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46266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45193</v>
      </c>
      <c r="E231" s="1" t="n">
        <v>46266</v>
      </c>
      <c r="F231" t="inlineStr">
        <is>
          <t>VÄSTERBOTTENS LÄN</t>
        </is>
      </c>
      <c r="G231" t="inlineStr">
        <is>
          <t>MALÅ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46266</v>
      </c>
      <c r="F232" t="inlineStr">
        <is>
          <t>VÄSTERBOTTENS LÄN</t>
        </is>
      </c>
      <c r="G232" t="inlineStr">
        <is>
          <t>MALÅ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46266</v>
      </c>
      <c r="F233" t="inlineStr">
        <is>
          <t>VÄSTERBOTTENS LÄN</t>
        </is>
      </c>
      <c r="G233" t="inlineStr">
        <is>
          <t>MALÅ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46266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45153</v>
      </c>
      <c r="E235" s="1" t="n">
        <v>46266</v>
      </c>
      <c r="F235" t="inlineStr">
        <is>
          <t>VÄSTERBOTTENS LÄN</t>
        </is>
      </c>
      <c r="G235" t="inlineStr">
        <is>
          <t>MALÅ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46266</v>
      </c>
      <c r="F236" t="inlineStr">
        <is>
          <t>VÄSTERBOTTENS LÄN</t>
        </is>
      </c>
      <c r="G236" t="inlineStr">
        <is>
          <t>MALÅ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46114</v>
      </c>
      <c r="E237" s="1" t="n">
        <v>46266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19.7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46266</v>
      </c>
      <c r="F238" t="inlineStr">
        <is>
          <t>VÄSTERBOTTENS LÄN</t>
        </is>
      </c>
      <c r="G238" t="inlineStr">
        <is>
          <t>MALÅ</t>
        </is>
      </c>
      <c r="H238" t="inlineStr">
        <is>
          <t>SCA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46266</v>
      </c>
      <c r="F239" t="inlineStr">
        <is>
          <t>VÄSTERBOTTENS LÄN</t>
        </is>
      </c>
      <c r="G239" t="inlineStr">
        <is>
          <t>MALÅ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45149</v>
      </c>
      <c r="E240" s="1" t="n">
        <v>46266</v>
      </c>
      <c r="F240" t="inlineStr">
        <is>
          <t>VÄSTERBOTTENS LÄN</t>
        </is>
      </c>
      <c r="G240" t="inlineStr">
        <is>
          <t>MALÅ</t>
        </is>
      </c>
      <c r="I240" t="n">
        <v>26.9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45203</v>
      </c>
      <c r="E241" s="1" t="n">
        <v>46266</v>
      </c>
      <c r="F241" t="inlineStr">
        <is>
          <t>VÄSTERBOTTENS LÄN</t>
        </is>
      </c>
      <c r="G241" t="inlineStr">
        <is>
          <t>MALÅ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45155</v>
      </c>
      <c r="E242" s="1" t="n">
        <v>46266</v>
      </c>
      <c r="F242" t="inlineStr">
        <is>
          <t>VÄSTERBOTTENS LÄN</t>
        </is>
      </c>
      <c r="G242" t="inlineStr">
        <is>
          <t>MALÅ</t>
        </is>
      </c>
      <c r="I242" t="n">
        <v>48.2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46266</v>
      </c>
      <c r="F243" t="inlineStr">
        <is>
          <t>VÄSTERBOTTENS LÄN</t>
        </is>
      </c>
      <c r="G243" t="inlineStr">
        <is>
          <t>MALÅ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46266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32772-2024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45516</v>
      </c>
      <c r="E245" s="1" t="n">
        <v>46266</v>
      </c>
      <c r="F245" t="inlineStr">
        <is>
          <t>VÄSTERBOTTENS LÄN</t>
        </is>
      </c>
      <c r="G245" t="inlineStr">
        <is>
          <t>MALÅ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46266</v>
      </c>
      <c r="F246" t="inlineStr">
        <is>
          <t>VÄSTERBOTTENS LÄN</t>
        </is>
      </c>
      <c r="G246" t="inlineStr">
        <is>
          <t>MALÅ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12680-2022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44641</v>
      </c>
      <c r="E247" s="1" t="n">
        <v>46266</v>
      </c>
      <c r="F247" t="inlineStr">
        <is>
          <t>VÄSTERBOTTENS LÄN</t>
        </is>
      </c>
      <c r="G247" t="inlineStr">
        <is>
          <t>MALÅ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46266</v>
      </c>
      <c r="F248" t="inlineStr">
        <is>
          <t>VÄSTERBOTTENS LÄN</t>
        </is>
      </c>
      <c r="G248" t="inlineStr">
        <is>
          <t>MALÅ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46266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55.9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46266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19349-2026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46266</v>
      </c>
      <c r="F251" t="inlineStr">
        <is>
          <t>VÄSTERBOTTENS LÄN</t>
        </is>
      </c>
      <c r="G251" t="inlineStr">
        <is>
          <t>MALÅ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46266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63.6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56727-2022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46266</v>
      </c>
      <c r="F253" t="inlineStr">
        <is>
          <t>VÄSTERBOTTENS LÄN</t>
        </is>
      </c>
      <c r="G253" t="inlineStr">
        <is>
          <t>MALÅ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46266</v>
      </c>
      <c r="F254" t="inlineStr">
        <is>
          <t>VÄSTERBOTTENS LÄN</t>
        </is>
      </c>
      <c r="G254" t="inlineStr">
        <is>
          <t>MALÅ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46266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46266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46266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45193</v>
      </c>
      <c r="E258" s="1" t="n">
        <v>46266</v>
      </c>
      <c r="F258" t="inlineStr">
        <is>
          <t>VÄSTERBOTTENS LÄN</t>
        </is>
      </c>
      <c r="G258" t="inlineStr">
        <is>
          <t>MALÅ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44441</v>
      </c>
      <c r="E259" s="1" t="n">
        <v>46266</v>
      </c>
      <c r="F259" t="inlineStr">
        <is>
          <t>VÄSTERBOTTENS LÄN</t>
        </is>
      </c>
      <c r="G259" t="inlineStr">
        <is>
          <t>MALÅ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46266</v>
      </c>
      <c r="F260" t="inlineStr">
        <is>
          <t>VÄSTERBOTTENS LÄN</t>
        </is>
      </c>
      <c r="G260" t="inlineStr">
        <is>
          <t>MALÅ</t>
        </is>
      </c>
      <c r="H260" t="inlineStr">
        <is>
          <t>SCA</t>
        </is>
      </c>
      <c r="I260" t="n">
        <v>25.9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37183-2023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46266</v>
      </c>
      <c r="F261" t="inlineStr">
        <is>
          <t>VÄSTERBOTTENS LÄN</t>
        </is>
      </c>
      <c r="G261" t="inlineStr">
        <is>
          <t>MALÅ</t>
        </is>
      </c>
      <c r="I261" t="n">
        <v>41.2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45667</v>
      </c>
      <c r="E262" s="1" t="n">
        <v>46266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46266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45184</v>
      </c>
      <c r="E264" s="1" t="n">
        <v>46266</v>
      </c>
      <c r="F264" t="inlineStr">
        <is>
          <t>VÄSTERBOTTENS LÄN</t>
        </is>
      </c>
      <c r="G264" t="inlineStr">
        <is>
          <t>MALÅ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37960-2023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45160</v>
      </c>
      <c r="E265" s="1" t="n">
        <v>46266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21.8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46266</v>
      </c>
      <c r="F266" t="inlineStr">
        <is>
          <t>VÄSTERBOTTENS LÄN</t>
        </is>
      </c>
      <c r="G266" t="inlineStr">
        <is>
          <t>MALÅ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46266</v>
      </c>
      <c r="F267" t="inlineStr">
        <is>
          <t>VÄSTERBOTTENS LÄN</t>
        </is>
      </c>
      <c r="G267" t="inlineStr">
        <is>
          <t>MALÅ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36425-2023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45152</v>
      </c>
      <c r="E268" s="1" t="n">
        <v>46266</v>
      </c>
      <c r="F268" t="inlineStr">
        <is>
          <t>VÄSTERBOTTENS LÄN</t>
        </is>
      </c>
      <c r="G268" t="inlineStr">
        <is>
          <t>MALÅ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45154</v>
      </c>
      <c r="E269" s="1" t="n">
        <v>46266</v>
      </c>
      <c r="F269" t="inlineStr">
        <is>
          <t>VÄSTERBOTTENS LÄN</t>
        </is>
      </c>
      <c r="G269" t="inlineStr">
        <is>
          <t>MALÅ</t>
        </is>
      </c>
      <c r="I269" t="n">
        <v>63.5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46266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18.7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46266</v>
      </c>
      <c r="F271" t="inlineStr">
        <is>
          <t>VÄSTERBOTTENS LÄN</t>
        </is>
      </c>
      <c r="G271" t="inlineStr">
        <is>
          <t>MALÅ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46266</v>
      </c>
      <c r="F272" t="inlineStr">
        <is>
          <t>VÄSTERBOTTENS LÄN</t>
        </is>
      </c>
      <c r="G272" t="inlineStr">
        <is>
          <t>MALÅ</t>
        </is>
      </c>
      <c r="I272" t="n">
        <v>30.4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46266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23.4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54437-2023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45233</v>
      </c>
      <c r="E274" s="1" t="n">
        <v>46266</v>
      </c>
      <c r="F274" t="inlineStr">
        <is>
          <t>VÄSTERBOTTENS LÄN</t>
        </is>
      </c>
      <c r="G274" t="inlineStr">
        <is>
          <t>MALÅ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46266</v>
      </c>
      <c r="F275" t="inlineStr">
        <is>
          <t>VÄSTERBOTTENS LÄN</t>
        </is>
      </c>
      <c r="G275" t="inlineStr">
        <is>
          <t>MALÅ</t>
        </is>
      </c>
      <c r="H275" t="inlineStr">
        <is>
          <t>SCA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45642</v>
      </c>
      <c r="E276" s="1" t="n">
        <v>46266</v>
      </c>
      <c r="F276" t="inlineStr">
        <is>
          <t>VÄSTERBOTTENS LÄN</t>
        </is>
      </c>
      <c r="G276" t="inlineStr">
        <is>
          <t>MALÅ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46266</v>
      </c>
      <c r="F277" t="inlineStr">
        <is>
          <t>VÄSTERBOTTENS LÄN</t>
        </is>
      </c>
      <c r="G277" t="inlineStr">
        <is>
          <t>MALÅ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46266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46266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46266</v>
      </c>
      <c r="F280" t="inlineStr">
        <is>
          <t>VÄSTERBOTTENS LÄN</t>
        </is>
      </c>
      <c r="G280" t="inlineStr">
        <is>
          <t>MALÅ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46266</v>
      </c>
      <c r="F281" t="inlineStr">
        <is>
          <t>VÄSTERBOTTENS LÄN</t>
        </is>
      </c>
      <c r="G281" t="inlineStr">
        <is>
          <t>MALÅ</t>
        </is>
      </c>
      <c r="I281" t="n">
        <v>9.300000000000001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46266</v>
      </c>
      <c r="F282" t="inlineStr">
        <is>
          <t>VÄSTERBOTTENS LÄN</t>
        </is>
      </c>
      <c r="G282" t="inlineStr">
        <is>
          <t>MALÅ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59866-2021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44491</v>
      </c>
      <c r="E283" s="1" t="n">
        <v>46266</v>
      </c>
      <c r="F283" t="inlineStr">
        <is>
          <t>VÄSTERBOTTENS LÄN</t>
        </is>
      </c>
      <c r="G283" t="inlineStr">
        <is>
          <t>MALÅ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45601</v>
      </c>
      <c r="E284" s="1" t="n">
        <v>46266</v>
      </c>
      <c r="F284" t="inlineStr">
        <is>
          <t>VÄSTERBOTTENS LÄN</t>
        </is>
      </c>
      <c r="G284" t="inlineStr">
        <is>
          <t>MALÅ</t>
        </is>
      </c>
      <c r="H284" t="inlineStr">
        <is>
          <t>SCA</t>
        </is>
      </c>
      <c r="I284" t="n">
        <v>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37327-2023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46266</v>
      </c>
      <c r="F285" t="inlineStr">
        <is>
          <t>VÄSTERBOTTENS LÄN</t>
        </is>
      </c>
      <c r="G285" t="inlineStr">
        <is>
          <t>MALÅ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46266</v>
      </c>
      <c r="F286" t="inlineStr">
        <is>
          <t>VÄSTERBOTTENS LÄN</t>
        </is>
      </c>
      <c r="G286" t="inlineStr">
        <is>
          <t>MALÅ</t>
        </is>
      </c>
      <c r="I286" t="n">
        <v>8.199999999999999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46266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46266</v>
      </c>
      <c r="F288" t="inlineStr">
        <is>
          <t>VÄSTERBOTTENS LÄN</t>
        </is>
      </c>
      <c r="G288" t="inlineStr">
        <is>
          <t>MALÅ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45646</v>
      </c>
      <c r="E289" s="1" t="n">
        <v>46266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44964</v>
      </c>
      <c r="E290" s="1" t="n">
        <v>46266</v>
      </c>
      <c r="F290" t="inlineStr">
        <is>
          <t>VÄSTERBOTTENS LÄN</t>
        </is>
      </c>
      <c r="G290" t="inlineStr">
        <is>
          <t>MALÅ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45223</v>
      </c>
      <c r="E291" s="1" t="n">
        <v>46266</v>
      </c>
      <c r="F291" t="inlineStr">
        <is>
          <t>VÄSTERBOTTENS LÄN</t>
        </is>
      </c>
      <c r="G291" t="inlineStr">
        <is>
          <t>MALÅ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46266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45694</v>
      </c>
      <c r="E293" s="1" t="n">
        <v>46266</v>
      </c>
      <c r="F293" t="inlineStr">
        <is>
          <t>VÄSTERBOTTENS LÄN</t>
        </is>
      </c>
      <c r="G293" t="inlineStr">
        <is>
          <t>MALÅ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10843-2024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46266</v>
      </c>
      <c r="F294" t="inlineStr">
        <is>
          <t>VÄSTERBOTTENS LÄN</t>
        </is>
      </c>
      <c r="G294" t="inlineStr">
        <is>
          <t>MALÅ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46266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46266</v>
      </c>
      <c r="F296" t="inlineStr">
        <is>
          <t>VÄSTERBOTTENS LÄN</t>
        </is>
      </c>
      <c r="G296" t="inlineStr">
        <is>
          <t>MALÅ</t>
        </is>
      </c>
      <c r="I296" t="n">
        <v>17.5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46266</v>
      </c>
      <c r="F297" t="inlineStr">
        <is>
          <t>VÄSTERBOTTENS LÄN</t>
        </is>
      </c>
      <c r="G297" t="inlineStr">
        <is>
          <t>MALÅ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46266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46266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45171</v>
      </c>
      <c r="E300" s="1" t="n">
        <v>46266</v>
      </c>
      <c r="F300" t="inlineStr">
        <is>
          <t>VÄSTERBOTTENS LÄN</t>
        </is>
      </c>
      <c r="G300" t="inlineStr">
        <is>
          <t>MALÅ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46266</v>
      </c>
      <c r="F301" t="inlineStr">
        <is>
          <t>VÄSTERBOTTENS LÄN</t>
        </is>
      </c>
      <c r="G301" t="inlineStr">
        <is>
          <t>MALÅ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HYPERLINK("https://klasma.github.io/Logging_2418/knärot/A 41353-2023 karta knärot.png", "A 41353-2023")</f>
        <v/>
      </c>
      <c r="AA301">
        <f>HYPERLINK("https://klasma.github.io/Logging_2418/klagomål/A 41353-2023 FSC-klagomål.docx", "A 41353-2023")</f>
        <v/>
      </c>
      <c r="AB301">
        <f>HYPERLINK("https://klasma.github.io/Logging_2418/klagomålsmail/A 41353-2023 FSC-klagomål mail.docx", "A 41353-2023")</f>
        <v/>
      </c>
      <c r="AC301">
        <f>HYPERLINK("https://klasma.github.io/Logging_2418/tillsyn/A 41353-2023 tillsynsbegäran.docx", "A 41353-2023")</f>
        <v/>
      </c>
      <c r="AD301">
        <f>HYPERLINK("https://klasma.github.io/Logging_2418/tillsynsmail/A 41353-2023 tillsynsbegäran mail.docx", "A 41353-2023")</f>
        <v/>
      </c>
    </row>
    <row r="302" ht="15" customHeight="1">
      <c r="A302" t="inlineStr">
        <is>
          <t>A 32769-2024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45516</v>
      </c>
      <c r="E302" s="1" t="n">
        <v>46266</v>
      </c>
      <c r="F302" t="inlineStr">
        <is>
          <t>VÄSTERBOTTENS LÄN</t>
        </is>
      </c>
      <c r="G302" t="inlineStr">
        <is>
          <t>MALÅ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46266</v>
      </c>
      <c r="F303" t="inlineStr">
        <is>
          <t>VÄSTERBOTTENS LÄN</t>
        </is>
      </c>
      <c r="G303" t="inlineStr">
        <is>
          <t>MALÅ</t>
        </is>
      </c>
      <c r="I303" t="n">
        <v>13.3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46266</v>
      </c>
      <c r="F304" t="inlineStr">
        <is>
          <t>VÄSTERBOTTENS LÄN</t>
        </is>
      </c>
      <c r="G304" t="inlineStr">
        <is>
          <t>MALÅ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46266</v>
      </c>
      <c r="F305" t="inlineStr">
        <is>
          <t>VÄSTERBOTTENS LÄN</t>
        </is>
      </c>
      <c r="G305" t="inlineStr">
        <is>
          <t>MALÅ</t>
        </is>
      </c>
      <c r="H305" t="inlineStr">
        <is>
          <t>SCA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44802</v>
      </c>
      <c r="E306" s="1" t="n">
        <v>46266</v>
      </c>
      <c r="F306" t="inlineStr">
        <is>
          <t>VÄSTERBOTTENS LÄN</t>
        </is>
      </c>
      <c r="G306" t="inlineStr">
        <is>
          <t>MALÅ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46266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30.8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46266</v>
      </c>
      <c r="F308" t="inlineStr">
        <is>
          <t>VÄSTERBOTTENS LÄN</t>
        </is>
      </c>
      <c r="G308" t="inlineStr">
        <is>
          <t>MALÅ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49434-2023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45211</v>
      </c>
      <c r="E309" s="1" t="n">
        <v>46266</v>
      </c>
      <c r="F309" t="inlineStr">
        <is>
          <t>VÄSTERBOTTENS LÄN</t>
        </is>
      </c>
      <c r="G309" t="inlineStr">
        <is>
          <t>MALÅ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46266</v>
      </c>
      <c r="F310" t="inlineStr">
        <is>
          <t>VÄSTERBOTTENS LÄN</t>
        </is>
      </c>
      <c r="G310" t="inlineStr">
        <is>
          <t>MALÅ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45168</v>
      </c>
      <c r="E311" s="1" t="n">
        <v>46266</v>
      </c>
      <c r="F311" t="inlineStr">
        <is>
          <t>VÄSTERBOTTENS LÄN</t>
        </is>
      </c>
      <c r="G311" t="inlineStr">
        <is>
          <t>MALÅ</t>
        </is>
      </c>
      <c r="I311" t="n">
        <v>27.9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46183</v>
      </c>
      <c r="E312" s="1" t="n">
        <v>46266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32767-2024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45516</v>
      </c>
      <c r="E313" s="1" t="n">
        <v>46266</v>
      </c>
      <c r="F313" t="inlineStr">
        <is>
          <t>VÄSTERBOTTENS LÄN</t>
        </is>
      </c>
      <c r="G313" t="inlineStr">
        <is>
          <t>MALÅ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46266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45393</v>
      </c>
      <c r="E315" s="1" t="n">
        <v>46266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46266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9.9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46189</v>
      </c>
      <c r="E317" s="1" t="n">
        <v>46266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27468-2026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46189</v>
      </c>
      <c r="E318" s="1" t="n">
        <v>46266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23.5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46232</v>
      </c>
      <c r="E319" s="1" t="n">
        <v>46266</v>
      </c>
      <c r="F319" t="inlineStr">
        <is>
          <t>VÄSTERBOTTENS LÄN</t>
        </is>
      </c>
      <c r="G319" t="inlineStr">
        <is>
          <t>MALÅ</t>
        </is>
      </c>
      <c r="H319" t="inlineStr">
        <is>
          <t>SCA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46266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27474-2026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46189</v>
      </c>
      <c r="E321" s="1" t="n">
        <v>46266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46189</v>
      </c>
      <c r="E322" s="1" t="n">
        <v>46266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41126-2023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45173</v>
      </c>
      <c r="E323" s="1" t="n">
        <v>46266</v>
      </c>
      <c r="F323" t="inlineStr">
        <is>
          <t>VÄSTERBOTTENS LÄN</t>
        </is>
      </c>
      <c r="G323" t="inlineStr">
        <is>
          <t>MALÅ</t>
        </is>
      </c>
      <c r="I323" t="n">
        <v>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46266</v>
      </c>
      <c r="F324" t="inlineStr">
        <is>
          <t>VÄSTERBOTTENS LÄN</t>
        </is>
      </c>
      <c r="G324" t="inlineStr">
        <is>
          <t>MALÅ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46266</v>
      </c>
      <c r="F325" t="inlineStr">
        <is>
          <t>VÄSTERBOTTENS LÄN</t>
        </is>
      </c>
      <c r="G325" t="inlineStr">
        <is>
          <t>MALÅ</t>
        </is>
      </c>
      <c r="I325" t="n">
        <v>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46266</v>
      </c>
      <c r="F326" t="inlineStr">
        <is>
          <t>VÄSTERBOTTENS LÄN</t>
        </is>
      </c>
      <c r="G326" t="inlineStr">
        <is>
          <t>MALÅ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45726</v>
      </c>
      <c r="E327" s="1" t="n">
        <v>46266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37.2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26853-2026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46185</v>
      </c>
      <c r="E328" s="1" t="n">
        <v>46266</v>
      </c>
      <c r="F328" t="inlineStr">
        <is>
          <t>VÄSTERBOTTENS LÄN</t>
        </is>
      </c>
      <c r="G328" t="inlineStr">
        <is>
          <t>MALÅ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46246</v>
      </c>
      <c r="E329" s="1" t="n">
        <v>46266</v>
      </c>
      <c r="F329" t="inlineStr">
        <is>
          <t>VÄSTERBOTTENS LÄN</t>
        </is>
      </c>
      <c r="G329" t="inlineStr">
        <is>
          <t>MALÅ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46246</v>
      </c>
      <c r="E330" s="1" t="n">
        <v>46266</v>
      </c>
      <c r="F330" t="inlineStr">
        <is>
          <t>VÄSTERBOTTENS LÄN</t>
        </is>
      </c>
      <c r="G330" t="inlineStr">
        <is>
          <t>MALÅ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33543-2026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46248</v>
      </c>
      <c r="E331" s="1" t="n">
        <v>46266</v>
      </c>
      <c r="F331" t="inlineStr">
        <is>
          <t>VÄSTERBOTTENS LÄN</t>
        </is>
      </c>
      <c r="G331" t="inlineStr">
        <is>
          <t>MALÅ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46251</v>
      </c>
      <c r="E332" s="1" t="n">
        <v>46266</v>
      </c>
      <c r="F332" t="inlineStr">
        <is>
          <t>VÄSTERBOTTENS LÄN</t>
        </is>
      </c>
      <c r="G332" t="inlineStr">
        <is>
          <t>MALÅ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46253</v>
      </c>
      <c r="E333" s="1" t="n">
        <v>46266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8.800000000000001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30502-2026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46210</v>
      </c>
      <c r="E334" s="1" t="n">
        <v>46266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46266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46266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46266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34259-2026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46266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46266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46260</v>
      </c>
      <c r="E340" s="1" t="n">
        <v>46266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46223</v>
      </c>
      <c r="E341" s="1" t="n">
        <v>46266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31535-2026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46223</v>
      </c>
      <c r="E342" s="1" t="n">
        <v>46266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46266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2026-09-01T02:07:42Z</dcterms:created>
  <dcterms:modified xmlns:dcterms="http://purl.org/dc/terms/" xmlns:xsi="http://www.w3.org/2001/XMLSchema-instance" xsi:type="dcterms:W3CDTF">2026-09-01T02:07:43Z</dcterms:modified>
</cp:coreProperties>
</file>