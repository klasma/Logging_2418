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46282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Gammelgransskål</t>
        </is>
      </c>
      <c r="W6">
        <f>HYPERLINK("https://klasma.github.io/Logging_2418/artfynd/A 52129-2024 artfynd.xlsx", "A 52129-2024")</f>
        <v/>
      </c>
      <c r="X6">
        <f>HYPERLINK("https://klasma.github.io/Logging_2418/kartor/A 52129-2024 karta.png", "A 52129-2024")</f>
        <v/>
      </c>
      <c r="Y6">
        <f>HYPERLINK("https://klasma.github.io/Logging_2418/kartor_geotiff/A 52129-2024 georefererad karta.tif", "A 52129-2024")</f>
        <v/>
      </c>
      <c r="AA6">
        <f>HYPERLINK("https://klasma.github.io/Logging_2418/klagomål/A 52129-2024 FSC-klagomål.docx", "A 52129-2024")</f>
        <v/>
      </c>
      <c r="AB6">
        <f>HYPERLINK("https://klasma.github.io/Logging_2418/klagomålsmail/A 52129-2024 FSC-klagomål mail.docx", "A 52129-2024")</f>
        <v/>
      </c>
      <c r="AC6">
        <f>HYPERLINK("https://klasma.github.io/Logging_2418/tillsyn/A 52129-2024 tillsynsbegäran.docx", "A 52129-2024")</f>
        <v/>
      </c>
      <c r="AD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46282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46282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46282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46282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46282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46282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46282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46282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46282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15857-2023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45022</v>
      </c>
      <c r="E21" s="1" t="n">
        <v>46282</v>
      </c>
      <c r="F21" t="inlineStr">
        <is>
          <t>VÄSTERBOTTENS LÄN</t>
        </is>
      </c>
      <c r="G21" t="inlineStr">
        <is>
          <t>MALÅ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46282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46282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46282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46282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46282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46282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46282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46282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46282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46282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46282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46282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46282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46282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68036-2021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46282</v>
      </c>
      <c r="F36" t="inlineStr">
        <is>
          <t>VÄSTERBOTTENS LÄN</t>
        </is>
      </c>
      <c r="G36" t="inlineStr">
        <is>
          <t>MALÅ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46282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46282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24924-2025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46282</v>
      </c>
      <c r="F39" t="inlineStr">
        <is>
          <t>VÄSTERBOTTENS LÄN</t>
        </is>
      </c>
      <c r="G39" t="inlineStr">
        <is>
          <t>MALÅ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46282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46282</v>
      </c>
      <c r="F41" t="inlineStr">
        <is>
          <t>VÄSTERBOTTENS LÄN</t>
        </is>
      </c>
      <c r="G41" t="inlineStr">
        <is>
          <t>MALÅ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46282</v>
      </c>
      <c r="F42" t="inlineStr">
        <is>
          <t>VÄSTERBOTTENS LÄN</t>
        </is>
      </c>
      <c r="G42" t="inlineStr">
        <is>
          <t>MALÅ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46027</v>
      </c>
      <c r="E43" s="1" t="n">
        <v>46282</v>
      </c>
      <c r="F43" t="inlineStr">
        <is>
          <t>VÄSTERBOTTENS LÄN</t>
        </is>
      </c>
      <c r="G43" t="inlineStr">
        <is>
          <t>MALÅ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46027</v>
      </c>
      <c r="E44" s="1" t="n">
        <v>46282</v>
      </c>
      <c r="F44" t="inlineStr">
        <is>
          <t>VÄSTERBOTTENS LÄN</t>
        </is>
      </c>
      <c r="G44" t="inlineStr">
        <is>
          <t>MALÅ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45688</v>
      </c>
      <c r="E45" s="1" t="n">
        <v>46282</v>
      </c>
      <c r="F45" t="inlineStr">
        <is>
          <t>VÄSTERBOTTENS LÄN</t>
        </is>
      </c>
      <c r="G45" t="inlineStr">
        <is>
          <t>MALÅ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46282</v>
      </c>
      <c r="F46" t="inlineStr">
        <is>
          <t>VÄSTERBOTTENS LÄN</t>
        </is>
      </c>
      <c r="G46" t="inlineStr">
        <is>
          <t>MALÅ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52270-2023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46282</v>
      </c>
      <c r="F47" t="inlineStr">
        <is>
          <t>VÄSTERBOTTENS LÄN</t>
        </is>
      </c>
      <c r="G47" t="inlineStr">
        <is>
          <t>MALÅ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26892-2022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44740</v>
      </c>
      <c r="E48" s="1" t="n">
        <v>46282</v>
      </c>
      <c r="F48" t="inlineStr">
        <is>
          <t>VÄSTERBOTTENS LÄN</t>
        </is>
      </c>
      <c r="G48" t="inlineStr">
        <is>
          <t>MALÅ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46282</v>
      </c>
      <c r="F49" t="inlineStr">
        <is>
          <t>VÄSTERBOTTENS LÄN</t>
        </is>
      </c>
      <c r="G49" t="inlineStr">
        <is>
          <t>MALÅ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46282</v>
      </c>
      <c r="F50" t="inlineStr">
        <is>
          <t>VÄSTERBOTTENS LÄN</t>
        </is>
      </c>
      <c r="G50" t="inlineStr">
        <is>
          <t>MALÅ</t>
        </is>
      </c>
      <c r="I50" t="n">
        <v>9.5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46282</v>
      </c>
      <c r="F51" t="inlineStr">
        <is>
          <t>VÄSTERBOTTENS LÄN</t>
        </is>
      </c>
      <c r="G51" t="inlineStr">
        <is>
          <t>MALÅ</t>
        </is>
      </c>
      <c r="I51" t="n">
        <v>10.8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46282</v>
      </c>
      <c r="F52" t="inlineStr">
        <is>
          <t>VÄSTERBOTTENS LÄN</t>
        </is>
      </c>
      <c r="G52" t="inlineStr">
        <is>
          <t>MALÅ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46282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46282</v>
      </c>
      <c r="F54" t="inlineStr">
        <is>
          <t>VÄSTERBOTTENS LÄN</t>
        </is>
      </c>
      <c r="G54" t="inlineStr">
        <is>
          <t>MALÅ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46035</v>
      </c>
      <c r="E55" s="1" t="n">
        <v>46282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45589</v>
      </c>
      <c r="E56" s="1" t="n">
        <v>46282</v>
      </c>
      <c r="F56" t="inlineStr">
        <is>
          <t>VÄSTERBOTTENS LÄN</t>
        </is>
      </c>
      <c r="G56" t="inlineStr">
        <is>
          <t>MALÅ</t>
        </is>
      </c>
      <c r="H56" t="inlineStr">
        <is>
          <t>SCA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46282</v>
      </c>
      <c r="F57" t="inlineStr">
        <is>
          <t>VÄSTERBOTTENS LÄN</t>
        </is>
      </c>
      <c r="G57" t="inlineStr">
        <is>
          <t>MALÅ</t>
        </is>
      </c>
      <c r="H57" t="inlineStr">
        <is>
          <t>Kyrkan</t>
        </is>
      </c>
      <c r="I57" t="n">
        <v>27.3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49839-2023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45210</v>
      </c>
      <c r="E58" s="1" t="n">
        <v>46282</v>
      </c>
      <c r="F58" t="inlineStr">
        <is>
          <t>VÄSTERBOTTENS LÄN</t>
        </is>
      </c>
      <c r="G58" t="inlineStr">
        <is>
          <t>MALÅ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45210</v>
      </c>
      <c r="E59" s="1" t="n">
        <v>46282</v>
      </c>
      <c r="F59" t="inlineStr">
        <is>
          <t>VÄSTERBOTTENS LÄN</t>
        </is>
      </c>
      <c r="G59" t="inlineStr">
        <is>
          <t>MALÅ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46282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46282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46282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45502</v>
      </c>
      <c r="E63" s="1" t="n">
        <v>46282</v>
      </c>
      <c r="F63" t="inlineStr">
        <is>
          <t>VÄSTERBOTTENS LÄN</t>
        </is>
      </c>
      <c r="G63" t="inlineStr">
        <is>
          <t>MALÅ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20234-2023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45054</v>
      </c>
      <c r="E64" s="1" t="n">
        <v>46282</v>
      </c>
      <c r="F64" t="inlineStr">
        <is>
          <t>VÄSTERBOTTENS LÄN</t>
        </is>
      </c>
      <c r="G64" t="inlineStr">
        <is>
          <t>MALÅ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46282</v>
      </c>
      <c r="F65" t="inlineStr">
        <is>
          <t>VÄSTERBOTTENS LÄN</t>
        </is>
      </c>
      <c r="G65" t="inlineStr">
        <is>
          <t>MALÅ</t>
        </is>
      </c>
      <c r="I65" t="n">
        <v>8.9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46282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45901</v>
      </c>
      <c r="E67" s="1" t="n">
        <v>46282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40943-2025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45897</v>
      </c>
      <c r="E68" s="1" t="n">
        <v>46282</v>
      </c>
      <c r="F68" t="inlineStr">
        <is>
          <t>VÄSTERBOTTENS LÄN</t>
        </is>
      </c>
      <c r="G68" t="inlineStr">
        <is>
          <t>MALÅ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46282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22.4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46282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46282</v>
      </c>
      <c r="F71" t="inlineStr">
        <is>
          <t>VÄSTERBOTTENS LÄN</t>
        </is>
      </c>
      <c r="G71" t="inlineStr">
        <is>
          <t>MALÅ</t>
        </is>
      </c>
      <c r="H71" t="inlineStr">
        <is>
          <t>SCA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56997-2023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46282</v>
      </c>
      <c r="F72" t="inlineStr">
        <is>
          <t>VÄSTERBOTTENS LÄN</t>
        </is>
      </c>
      <c r="G72" t="inlineStr">
        <is>
          <t>MALÅ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46282</v>
      </c>
      <c r="F73" t="inlineStr">
        <is>
          <t>VÄSTERBOTTENS LÄN</t>
        </is>
      </c>
      <c r="G73" t="inlineStr">
        <is>
          <t>MALÅ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45750</v>
      </c>
      <c r="E74" s="1" t="n">
        <v>46282</v>
      </c>
      <c r="F74" t="inlineStr">
        <is>
          <t>VÄSTERBOTTENS LÄN</t>
        </is>
      </c>
      <c r="G74" t="inlineStr">
        <is>
          <t>MALÅ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46282</v>
      </c>
      <c r="F75" t="inlineStr">
        <is>
          <t>VÄSTERBOTTENS LÄN</t>
        </is>
      </c>
      <c r="G75" t="inlineStr">
        <is>
          <t>MALÅ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45022</v>
      </c>
      <c r="E76" s="1" t="n">
        <v>46282</v>
      </c>
      <c r="F76" t="inlineStr">
        <is>
          <t>VÄSTERBOTTENS LÄN</t>
        </is>
      </c>
      <c r="G76" t="inlineStr">
        <is>
          <t>MALÅ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45227</v>
      </c>
      <c r="E77" s="1" t="n">
        <v>46282</v>
      </c>
      <c r="F77" t="inlineStr">
        <is>
          <t>VÄSTERBOTTENS LÄN</t>
        </is>
      </c>
      <c r="G77" t="inlineStr">
        <is>
          <t>MALÅ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46282</v>
      </c>
      <c r="F78" t="inlineStr">
        <is>
          <t>VÄSTERBOTTENS LÄN</t>
        </is>
      </c>
      <c r="G78" t="inlineStr">
        <is>
          <t>MALÅ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45179</v>
      </c>
      <c r="E79" s="1" t="n">
        <v>46282</v>
      </c>
      <c r="F79" t="inlineStr">
        <is>
          <t>VÄSTERBOTTENS LÄN</t>
        </is>
      </c>
      <c r="G79" t="inlineStr">
        <is>
          <t>MALÅ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46282</v>
      </c>
      <c r="F80" t="inlineStr">
        <is>
          <t>VÄSTERBOTTENS LÄN</t>
        </is>
      </c>
      <c r="G80" t="inlineStr">
        <is>
          <t>MALÅ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46282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45860</v>
      </c>
      <c r="E82" s="1" t="n">
        <v>46282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45861</v>
      </c>
      <c r="E83" s="1" t="n">
        <v>46282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45861</v>
      </c>
      <c r="E84" s="1" t="n">
        <v>46282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44426-2023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45188</v>
      </c>
      <c r="E85" s="1" t="n">
        <v>46282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45860</v>
      </c>
      <c r="E86" s="1" t="n">
        <v>46282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45861</v>
      </c>
      <c r="E87" s="1" t="n">
        <v>46282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46282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46282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46282</v>
      </c>
      <c r="F90" t="inlineStr">
        <is>
          <t>VÄSTERBOTTENS LÄN</t>
        </is>
      </c>
      <c r="G90" t="inlineStr">
        <is>
          <t>MALÅ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46282</v>
      </c>
      <c r="F91" t="inlineStr">
        <is>
          <t>VÄSTERBOTTENS LÄN</t>
        </is>
      </c>
      <c r="G91" t="inlineStr">
        <is>
          <t>MALÅ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46282</v>
      </c>
      <c r="F92" t="inlineStr">
        <is>
          <t>VÄSTERBOTTENS LÄN</t>
        </is>
      </c>
      <c r="G92" t="inlineStr">
        <is>
          <t>MALÅ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46282</v>
      </c>
      <c r="F93" t="inlineStr">
        <is>
          <t>VÄSTERBOTTENS LÄN</t>
        </is>
      </c>
      <c r="G93" t="inlineStr">
        <is>
          <t>MALÅ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45867</v>
      </c>
      <c r="E94" s="1" t="n">
        <v>46282</v>
      </c>
      <c r="F94" t="inlineStr">
        <is>
          <t>VÄSTERBOTTENS LÄN</t>
        </is>
      </c>
      <c r="G94" t="inlineStr">
        <is>
          <t>MALÅ</t>
        </is>
      </c>
      <c r="I94" t="n">
        <v>8.300000000000001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46282</v>
      </c>
      <c r="F95" t="inlineStr">
        <is>
          <t>VÄSTERBOTTENS LÄN</t>
        </is>
      </c>
      <c r="G95" t="inlineStr">
        <is>
          <t>MALÅ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46282</v>
      </c>
      <c r="F96" t="inlineStr">
        <is>
          <t>VÄSTERBOTTENS LÄN</t>
        </is>
      </c>
      <c r="G96" t="inlineStr">
        <is>
          <t>MALÅ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3471-2026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46042</v>
      </c>
      <c r="E97" s="1" t="n">
        <v>46282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46282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46282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46282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46282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46282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46282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46282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45875</v>
      </c>
      <c r="E105" s="1" t="n">
        <v>46282</v>
      </c>
      <c r="F105" t="inlineStr">
        <is>
          <t>VÄSTERBOTTENS LÄN</t>
        </is>
      </c>
      <c r="G105" t="inlineStr">
        <is>
          <t>MALÅ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46282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46282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46282</v>
      </c>
      <c r="F108" t="inlineStr">
        <is>
          <t>VÄSTERBOTTENS LÄN</t>
        </is>
      </c>
      <c r="G108" t="inlineStr">
        <is>
          <t>MALÅ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45166</v>
      </c>
      <c r="E109" s="1" t="n">
        <v>46282</v>
      </c>
      <c r="F109" t="inlineStr">
        <is>
          <t>VÄSTERBOTTENS LÄN</t>
        </is>
      </c>
      <c r="G109" t="inlineStr">
        <is>
          <t>MALÅ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46282</v>
      </c>
      <c r="F110" t="inlineStr">
        <is>
          <t>VÄSTERBOTTENS LÄN</t>
        </is>
      </c>
      <c r="G110" t="inlineStr">
        <is>
          <t>MALÅ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46282</v>
      </c>
      <c r="F111" t="inlineStr">
        <is>
          <t>VÄSTERBOTTENS LÄN</t>
        </is>
      </c>
      <c r="G111" t="inlineStr">
        <is>
          <t>MALÅ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46282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46282</v>
      </c>
      <c r="F113" t="inlineStr">
        <is>
          <t>VÄSTERBOTTENS LÄN</t>
        </is>
      </c>
      <c r="G113" t="inlineStr">
        <is>
          <t>MALÅ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46282</v>
      </c>
      <c r="F114" t="inlineStr">
        <is>
          <t>VÄSTERBOTTENS LÄN</t>
        </is>
      </c>
      <c r="G114" t="inlineStr">
        <is>
          <t>MALÅ</t>
        </is>
      </c>
      <c r="I114" t="n">
        <v>18.6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46282</v>
      </c>
      <c r="F115" t="inlineStr">
        <is>
          <t>VÄSTERBOTTENS LÄN</t>
        </is>
      </c>
      <c r="G115" t="inlineStr">
        <is>
          <t>MALÅ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46282</v>
      </c>
      <c r="F116" t="inlineStr">
        <is>
          <t>VÄSTERBOTTENS LÄN</t>
        </is>
      </c>
      <c r="G116" t="inlineStr">
        <is>
          <t>MALÅ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46282</v>
      </c>
      <c r="F117" t="inlineStr">
        <is>
          <t>VÄSTERBOTTENS LÄN</t>
        </is>
      </c>
      <c r="G117" t="inlineStr">
        <is>
          <t>MALÅ</t>
        </is>
      </c>
      <c r="H117" t="inlineStr">
        <is>
          <t>SCA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46282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46282</v>
      </c>
      <c r="F119" t="inlineStr">
        <is>
          <t>VÄSTERBOTTENS LÄN</t>
        </is>
      </c>
      <c r="G119" t="inlineStr">
        <is>
          <t>MALÅ</t>
        </is>
      </c>
      <c r="I119" t="n">
        <v>41.7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46282</v>
      </c>
      <c r="F120" t="inlineStr">
        <is>
          <t>VÄSTERBOTTENS LÄN</t>
        </is>
      </c>
      <c r="G120" t="inlineStr">
        <is>
          <t>MALÅ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46282</v>
      </c>
      <c r="F121" t="inlineStr">
        <is>
          <t>VÄSTERBOTTENS LÄN</t>
        </is>
      </c>
      <c r="G121" t="inlineStr">
        <is>
          <t>MALÅ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45154</v>
      </c>
      <c r="E122" s="1" t="n">
        <v>46282</v>
      </c>
      <c r="F122" t="inlineStr">
        <is>
          <t>VÄSTERBOTTENS LÄN</t>
        </is>
      </c>
      <c r="G122" t="inlineStr">
        <is>
          <t>MALÅ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46282</v>
      </c>
      <c r="F123" t="inlineStr">
        <is>
          <t>VÄSTERBOTTENS LÄN</t>
        </is>
      </c>
      <c r="G123" t="inlineStr">
        <is>
          <t>MALÅ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46282</v>
      </c>
      <c r="F124" t="inlineStr">
        <is>
          <t>VÄSTERBOTTENS LÄN</t>
        </is>
      </c>
      <c r="G124" t="inlineStr">
        <is>
          <t>MALÅ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46282</v>
      </c>
      <c r="F125" t="inlineStr">
        <is>
          <t>VÄSTERBOTTENS LÄN</t>
        </is>
      </c>
      <c r="G125" t="inlineStr">
        <is>
          <t>MALÅ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46282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46282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54463-2025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46282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46282</v>
      </c>
      <c r="F129" t="inlineStr">
        <is>
          <t>VÄSTERBOTTENS LÄN</t>
        </is>
      </c>
      <c r="G129" t="inlineStr">
        <is>
          <t>MALÅ</t>
        </is>
      </c>
      <c r="I129" t="n">
        <v>10.9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54455-2025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46282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46282</v>
      </c>
      <c r="F131" t="inlineStr">
        <is>
          <t>VÄSTERBOTTENS LÄN</t>
        </is>
      </c>
      <c r="G131" t="inlineStr">
        <is>
          <t>MALÅ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46282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46282</v>
      </c>
      <c r="F133" t="inlineStr">
        <is>
          <t>VÄSTERBOTTENS LÄN</t>
        </is>
      </c>
      <c r="G133" t="inlineStr">
        <is>
          <t>MALÅ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46282</v>
      </c>
      <c r="F134" t="inlineStr">
        <is>
          <t>VÄSTERBOTTENS LÄN</t>
        </is>
      </c>
      <c r="G134" t="inlineStr">
        <is>
          <t>MALÅ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46282</v>
      </c>
      <c r="F135" t="inlineStr">
        <is>
          <t>VÄSTERBOTTENS LÄN</t>
        </is>
      </c>
      <c r="G135" t="inlineStr">
        <is>
          <t>MALÅ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46282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46282</v>
      </c>
      <c r="F137" t="inlineStr">
        <is>
          <t>VÄSTERBOTTENS LÄN</t>
        </is>
      </c>
      <c r="G137" t="inlineStr">
        <is>
          <t>MALÅ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46282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8648-2026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46066</v>
      </c>
      <c r="E139" s="1" t="n">
        <v>46282</v>
      </c>
      <c r="F139" t="inlineStr">
        <is>
          <t>VÄSTERBOTTENS LÄN</t>
        </is>
      </c>
      <c r="G139" t="inlineStr">
        <is>
          <t>MALÅ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46282</v>
      </c>
      <c r="F140" t="inlineStr">
        <is>
          <t>VÄSTERBOTTENS LÄN</t>
        </is>
      </c>
      <c r="G140" t="inlineStr">
        <is>
          <t>MALÅ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46282</v>
      </c>
      <c r="F141" t="inlineStr">
        <is>
          <t>VÄSTERBOTTENS LÄN</t>
        </is>
      </c>
      <c r="G141" t="inlineStr">
        <is>
          <t>MALÅ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46282</v>
      </c>
      <c r="F142" t="inlineStr">
        <is>
          <t>VÄSTERBOTTENS LÄN</t>
        </is>
      </c>
      <c r="G142" t="inlineStr">
        <is>
          <t>MALÅ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46282</v>
      </c>
      <c r="F143" t="inlineStr">
        <is>
          <t>VÄSTERBOTTENS LÄN</t>
        </is>
      </c>
      <c r="G143" t="inlineStr">
        <is>
          <t>MALÅ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45178</v>
      </c>
      <c r="E144" s="1" t="n">
        <v>46282</v>
      </c>
      <c r="F144" t="inlineStr">
        <is>
          <t>VÄSTERBOTTENS LÄN</t>
        </is>
      </c>
      <c r="G144" t="inlineStr">
        <is>
          <t>MALÅ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37444-2023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46282</v>
      </c>
      <c r="F145" t="inlineStr">
        <is>
          <t>VÄSTERBOTTENS LÄN</t>
        </is>
      </c>
      <c r="G145" t="inlineStr">
        <is>
          <t>MALÅ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45158</v>
      </c>
      <c r="E146" s="1" t="n">
        <v>46282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46282</v>
      </c>
      <c r="F147" t="inlineStr">
        <is>
          <t>VÄSTERBOTTENS LÄN</t>
        </is>
      </c>
      <c r="G147" t="inlineStr">
        <is>
          <t>MALÅ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46282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45148</v>
      </c>
      <c r="E149" s="1" t="n">
        <v>46282</v>
      </c>
      <c r="F149" t="inlineStr">
        <is>
          <t>VÄSTERBOTTENS LÄN</t>
        </is>
      </c>
      <c r="G149" t="inlineStr">
        <is>
          <t>MALÅ</t>
        </is>
      </c>
      <c r="I149" t="n">
        <v>16.2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46282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46282</v>
      </c>
      <c r="F151" t="inlineStr">
        <is>
          <t>VÄSTERBOTTENS LÄN</t>
        </is>
      </c>
      <c r="G151" t="inlineStr">
        <is>
          <t>MALÅ</t>
        </is>
      </c>
      <c r="I151" t="n">
        <v>19.2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46282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46282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46282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46282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46282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46282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46282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45610</v>
      </c>
      <c r="E159" s="1" t="n">
        <v>46282</v>
      </c>
      <c r="F159" t="inlineStr">
        <is>
          <t>VÄSTERBOTTENS LÄN</t>
        </is>
      </c>
      <c r="G159" t="inlineStr">
        <is>
          <t>MALÅ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46282</v>
      </c>
      <c r="F160" t="inlineStr">
        <is>
          <t>VÄSTERBOTTENS LÄN</t>
        </is>
      </c>
      <c r="G160" t="inlineStr">
        <is>
          <t>MALÅ</t>
        </is>
      </c>
      <c r="H160" t="inlineStr">
        <is>
          <t>Kyrkan</t>
        </is>
      </c>
      <c r="I160" t="n">
        <v>84.5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46282</v>
      </c>
      <c r="F161" t="inlineStr">
        <is>
          <t>VÄSTERBOTTENS LÄN</t>
        </is>
      </c>
      <c r="G161" t="inlineStr">
        <is>
          <t>MALÅ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46282</v>
      </c>
      <c r="F162" t="inlineStr">
        <is>
          <t>VÄSTERBOTTENS LÄN</t>
        </is>
      </c>
      <c r="G162" t="inlineStr">
        <is>
          <t>MALÅ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46282</v>
      </c>
      <c r="F163" t="inlineStr">
        <is>
          <t>VÄSTERBOTTENS LÄN</t>
        </is>
      </c>
      <c r="G163" t="inlineStr">
        <is>
          <t>MALÅ</t>
        </is>
      </c>
      <c r="I163" t="n">
        <v>19.5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46282</v>
      </c>
      <c r="F164" t="inlineStr">
        <is>
          <t>VÄSTERBOTTENS LÄN</t>
        </is>
      </c>
      <c r="G164" t="inlineStr">
        <is>
          <t>MALÅ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46282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46282</v>
      </c>
      <c r="F166" t="inlineStr">
        <is>
          <t>VÄSTERBOTTENS LÄN</t>
        </is>
      </c>
      <c r="G166" t="inlineStr">
        <is>
          <t>MALÅ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46282</v>
      </c>
      <c r="F167" t="inlineStr">
        <is>
          <t>VÄSTERBOTTENS LÄN</t>
        </is>
      </c>
      <c r="G167" t="inlineStr">
        <is>
          <t>MALÅ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46282</v>
      </c>
      <c r="F168" t="inlineStr">
        <is>
          <t>VÄSTERBOTTENS LÄN</t>
        </is>
      </c>
      <c r="G168" t="inlineStr">
        <is>
          <t>MALÅ</t>
        </is>
      </c>
      <c r="I168" t="n">
        <v>73.7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46282</v>
      </c>
      <c r="F169" t="inlineStr">
        <is>
          <t>VÄSTERBOTTENS LÄN</t>
        </is>
      </c>
      <c r="G169" t="inlineStr">
        <is>
          <t>MALÅ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46282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46282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46282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18.2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46282</v>
      </c>
      <c r="F173" t="inlineStr">
        <is>
          <t>VÄSTERBOTTENS LÄN</t>
        </is>
      </c>
      <c r="G173" t="inlineStr">
        <is>
          <t>MALÅ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46282</v>
      </c>
      <c r="F174" t="inlineStr">
        <is>
          <t>VÄSTERBOTTENS LÄN</t>
        </is>
      </c>
      <c r="G174" t="inlineStr">
        <is>
          <t>MALÅ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46282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46282</v>
      </c>
      <c r="F176" t="inlineStr">
        <is>
          <t>VÄSTERBOTTENS LÄN</t>
        </is>
      </c>
      <c r="G176" t="inlineStr">
        <is>
          <t>MALÅ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46097</v>
      </c>
      <c r="E177" s="1" t="n">
        <v>46282</v>
      </c>
      <c r="F177" t="inlineStr">
        <is>
          <t>VÄSTERBOTTENS LÄN</t>
        </is>
      </c>
      <c r="G177" t="inlineStr">
        <is>
          <t>MALÅ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46282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46282</v>
      </c>
      <c r="F179" t="inlineStr">
        <is>
          <t>VÄSTERBOTTENS LÄN</t>
        </is>
      </c>
      <c r="G179" t="inlineStr">
        <is>
          <t>MALÅ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46282</v>
      </c>
      <c r="F180" t="inlineStr">
        <is>
          <t>VÄSTERBOTTENS LÄN</t>
        </is>
      </c>
      <c r="G180" t="inlineStr">
        <is>
          <t>MALÅ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46282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46282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19.7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46282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45149</v>
      </c>
      <c r="E184" s="1" t="n">
        <v>46282</v>
      </c>
      <c r="F184" t="inlineStr">
        <is>
          <t>VÄSTERBOTTENS LÄN</t>
        </is>
      </c>
      <c r="G184" t="inlineStr">
        <is>
          <t>MALÅ</t>
        </is>
      </c>
      <c r="I184" t="n">
        <v>147.1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46282</v>
      </c>
      <c r="F185" t="inlineStr">
        <is>
          <t>VÄSTERBOTTENS LÄN</t>
        </is>
      </c>
      <c r="G185" t="inlineStr">
        <is>
          <t>MALÅ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46282</v>
      </c>
      <c r="F186" t="inlineStr">
        <is>
          <t>VÄSTERBOTTENS LÄN</t>
        </is>
      </c>
      <c r="G186" t="inlineStr">
        <is>
          <t>MALÅ</t>
        </is>
      </c>
      <c r="I186" t="n">
        <v>15.7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46282</v>
      </c>
      <c r="F187" t="inlineStr">
        <is>
          <t>VÄSTERBOTTENS LÄN</t>
        </is>
      </c>
      <c r="G187" t="inlineStr">
        <is>
          <t>MALÅ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46133</v>
      </c>
      <c r="E188" s="1" t="n">
        <v>46282</v>
      </c>
      <c r="F188" t="inlineStr">
        <is>
          <t>VÄSTERBOTTENS LÄN</t>
        </is>
      </c>
      <c r="G188" t="inlineStr">
        <is>
          <t>MALÅ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46133</v>
      </c>
      <c r="E189" s="1" t="n">
        <v>46282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45267</v>
      </c>
      <c r="E190" s="1" t="n">
        <v>46282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46282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46282</v>
      </c>
      <c r="F192" t="inlineStr">
        <is>
          <t>VÄSTERBOTTENS LÄN</t>
        </is>
      </c>
      <c r="G192" t="inlineStr">
        <is>
          <t>MALÅ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46282</v>
      </c>
      <c r="F193" t="inlineStr">
        <is>
          <t>VÄSTERBOTTENS LÄN</t>
        </is>
      </c>
      <c r="G193" t="inlineStr">
        <is>
          <t>MALÅ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46282</v>
      </c>
      <c r="F194" t="inlineStr">
        <is>
          <t>VÄSTERBOTTENS LÄN</t>
        </is>
      </c>
      <c r="G194" t="inlineStr">
        <is>
          <t>MALÅ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46282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45201</v>
      </c>
      <c r="E196" s="1" t="n">
        <v>46282</v>
      </c>
      <c r="F196" t="inlineStr">
        <is>
          <t>VÄSTERBOTTENS LÄN</t>
        </is>
      </c>
      <c r="G196" t="inlineStr">
        <is>
          <t>MALÅ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46282</v>
      </c>
      <c r="F197" t="inlineStr">
        <is>
          <t>VÄSTERBOTTENS LÄN</t>
        </is>
      </c>
      <c r="G197" t="inlineStr">
        <is>
          <t>MALÅ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46282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46282</v>
      </c>
      <c r="F199" t="inlineStr">
        <is>
          <t>VÄSTERBOTTENS LÄN</t>
        </is>
      </c>
      <c r="G199" t="inlineStr">
        <is>
          <t>MALÅ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44575</v>
      </c>
      <c r="E200" s="1" t="n">
        <v>46282</v>
      </c>
      <c r="F200" t="inlineStr">
        <is>
          <t>VÄSTERBOTTENS LÄN</t>
        </is>
      </c>
      <c r="G200" t="inlineStr">
        <is>
          <t>MALÅ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46282</v>
      </c>
      <c r="F201" t="inlineStr">
        <is>
          <t>VÄSTERBOTTENS LÄN</t>
        </is>
      </c>
      <c r="G201" t="inlineStr">
        <is>
          <t>MALÅ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45193</v>
      </c>
      <c r="E202" s="1" t="n">
        <v>46282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46282</v>
      </c>
      <c r="F203" t="inlineStr">
        <is>
          <t>VÄSTERBOTTENS LÄN</t>
        </is>
      </c>
      <c r="G203" t="inlineStr">
        <is>
          <t>MALÅ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46282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45504</v>
      </c>
      <c r="E205" s="1" t="n">
        <v>46282</v>
      </c>
      <c r="F205" t="inlineStr">
        <is>
          <t>VÄSTERBOTTENS LÄN</t>
        </is>
      </c>
      <c r="G205" t="inlineStr">
        <is>
          <t>MALÅ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46282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46282</v>
      </c>
      <c r="F207" t="inlineStr">
        <is>
          <t>VÄSTERBOTTENS LÄN</t>
        </is>
      </c>
      <c r="G207" t="inlineStr">
        <is>
          <t>MALÅ</t>
        </is>
      </c>
      <c r="I207" t="n">
        <v>26.3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46282</v>
      </c>
      <c r="F208" t="inlineStr">
        <is>
          <t>VÄSTERBOTTENS LÄN</t>
        </is>
      </c>
      <c r="G208" t="inlineStr">
        <is>
          <t>MALÅ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46282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46282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45660</v>
      </c>
      <c r="E211" s="1" t="n">
        <v>46282</v>
      </c>
      <c r="F211" t="inlineStr">
        <is>
          <t>VÄSTERBOTTENS LÄN</t>
        </is>
      </c>
      <c r="G211" t="inlineStr">
        <is>
          <t>MALÅ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46282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46282</v>
      </c>
      <c r="F213" t="inlineStr">
        <is>
          <t>VÄSTERBOTTENS LÄN</t>
        </is>
      </c>
      <c r="G213" t="inlineStr">
        <is>
          <t>MALÅ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46282</v>
      </c>
      <c r="F214" t="inlineStr">
        <is>
          <t>VÄSTERBOTTENS LÄN</t>
        </is>
      </c>
      <c r="G214" t="inlineStr">
        <is>
          <t>MALÅ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46282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46282</v>
      </c>
      <c r="F216" t="inlineStr">
        <is>
          <t>VÄSTERBOTTENS LÄN</t>
        </is>
      </c>
      <c r="G216" t="inlineStr">
        <is>
          <t>MALÅ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44911</v>
      </c>
      <c r="E217" s="1" t="n">
        <v>46282</v>
      </c>
      <c r="F217" t="inlineStr">
        <is>
          <t>VÄSTERBOTTENS LÄN</t>
        </is>
      </c>
      <c r="G217" t="inlineStr">
        <is>
          <t>MALÅ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46282</v>
      </c>
      <c r="F218" t="inlineStr">
        <is>
          <t>VÄSTERBOTTENS LÄN</t>
        </is>
      </c>
      <c r="G218" t="inlineStr">
        <is>
          <t>MALÅ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46282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46282</v>
      </c>
      <c r="F220" t="inlineStr">
        <is>
          <t>VÄSTERBOTTENS LÄN</t>
        </is>
      </c>
      <c r="G220" t="inlineStr">
        <is>
          <t>MALÅ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46282</v>
      </c>
      <c r="F221" t="inlineStr">
        <is>
          <t>VÄSTERBOTTENS LÄN</t>
        </is>
      </c>
      <c r="G221" t="inlineStr">
        <is>
          <t>MALÅ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67679-2021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44524</v>
      </c>
      <c r="E222" s="1" t="n">
        <v>46282</v>
      </c>
      <c r="F222" t="inlineStr">
        <is>
          <t>VÄSTERBOTTENS LÄN</t>
        </is>
      </c>
      <c r="G222" t="inlineStr">
        <is>
          <t>MALÅ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46282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18.7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46282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46282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46282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46282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46282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46282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46282</v>
      </c>
      <c r="F230" t="inlineStr">
        <is>
          <t>VÄSTERBOTTENS LÄN</t>
        </is>
      </c>
      <c r="G230" t="inlineStr">
        <is>
          <t>MALÅ</t>
        </is>
      </c>
      <c r="I230" t="n">
        <v>48.2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46282</v>
      </c>
      <c r="F231" t="inlineStr">
        <is>
          <t>VÄSTERBOTTENS LÄN</t>
        </is>
      </c>
      <c r="G231" t="inlineStr">
        <is>
          <t>MALÅ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46282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46282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32772-2024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45516</v>
      </c>
      <c r="E234" s="1" t="n">
        <v>46282</v>
      </c>
      <c r="F234" t="inlineStr">
        <is>
          <t>VÄSTERBOTTENS LÄN</t>
        </is>
      </c>
      <c r="G234" t="inlineStr">
        <is>
          <t>MALÅ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46282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9947-2025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46282</v>
      </c>
      <c r="F236" t="inlineStr">
        <is>
          <t>VÄSTERBOTTENS LÄN</t>
        </is>
      </c>
      <c r="G236" t="inlineStr">
        <is>
          <t>MALÅ</t>
        </is>
      </c>
      <c r="I236" t="n">
        <v>9.300000000000001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44641</v>
      </c>
      <c r="E237" s="1" t="n">
        <v>46282</v>
      </c>
      <c r="F237" t="inlineStr">
        <is>
          <t>VÄSTERBOTTENS LÄN</t>
        </is>
      </c>
      <c r="G237" t="inlineStr">
        <is>
          <t>MALÅ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46282</v>
      </c>
      <c r="F238" t="inlineStr">
        <is>
          <t>VÄSTERBOTTENS LÄN</t>
        </is>
      </c>
      <c r="G238" t="inlineStr">
        <is>
          <t>MALÅ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46282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63.6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46282</v>
      </c>
      <c r="F240" t="inlineStr">
        <is>
          <t>VÄSTERBOTTENS LÄN</t>
        </is>
      </c>
      <c r="G240" t="inlineStr">
        <is>
          <t>MALÅ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46282</v>
      </c>
      <c r="F241" t="inlineStr">
        <is>
          <t>VÄSTERBOTTENS LÄN</t>
        </is>
      </c>
      <c r="G241" t="inlineStr">
        <is>
          <t>MALÅ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46282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46282</v>
      </c>
      <c r="F243" t="inlineStr">
        <is>
          <t>VÄSTERBOTTENS LÄN</t>
        </is>
      </c>
      <c r="G243" t="inlineStr">
        <is>
          <t>MALÅ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46282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45139</v>
      </c>
      <c r="E245" s="1" t="n">
        <v>46282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45193</v>
      </c>
      <c r="E246" s="1" t="n">
        <v>46282</v>
      </c>
      <c r="F246" t="inlineStr">
        <is>
          <t>VÄSTERBOTTENS LÄN</t>
        </is>
      </c>
      <c r="G246" t="inlineStr">
        <is>
          <t>MALÅ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46282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25.9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46282</v>
      </c>
      <c r="F248" t="inlineStr">
        <is>
          <t>VÄSTERBOTTENS LÄN</t>
        </is>
      </c>
      <c r="G248" t="inlineStr">
        <is>
          <t>MALÅ</t>
        </is>
      </c>
      <c r="I248" t="n">
        <v>41.2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46282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46282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46282</v>
      </c>
      <c r="F251" t="inlineStr">
        <is>
          <t>VÄSTERBOTTENS LÄN</t>
        </is>
      </c>
      <c r="G251" t="inlineStr">
        <is>
          <t>MALÅ</t>
        </is>
      </c>
      <c r="I251" t="n">
        <v>13.3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46282</v>
      </c>
      <c r="F252" t="inlineStr">
        <is>
          <t>VÄSTERBOTTENS LÄN</t>
        </is>
      </c>
      <c r="G252" t="inlineStr">
        <is>
          <t>MALÅ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46282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46282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46282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46282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45154</v>
      </c>
      <c r="E257" s="1" t="n">
        <v>46282</v>
      </c>
      <c r="F257" t="inlineStr">
        <is>
          <t>VÄSTERBOTTENS LÄN</t>
        </is>
      </c>
      <c r="G257" t="inlineStr">
        <is>
          <t>MALÅ</t>
        </is>
      </c>
      <c r="I257" t="n">
        <v>63.5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46282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45201</v>
      </c>
      <c r="E259" s="1" t="n">
        <v>46282</v>
      </c>
      <c r="F259" t="inlineStr">
        <is>
          <t>VÄSTERBOTTENS LÄN</t>
        </is>
      </c>
      <c r="G259" t="inlineStr">
        <is>
          <t>MALÅ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46282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9.9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46282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46282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46282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46282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46282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46282</v>
      </c>
      <c r="F266" t="inlineStr">
        <is>
          <t>VÄSTERBOTTENS LÄN</t>
        </is>
      </c>
      <c r="G266" t="inlineStr">
        <is>
          <t>MALÅ</t>
        </is>
      </c>
      <c r="I266" t="n">
        <v>30.4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46282</v>
      </c>
      <c r="F267" t="inlineStr">
        <is>
          <t>VÄSTERBOTTENS LÄN</t>
        </is>
      </c>
      <c r="G267" t="inlineStr">
        <is>
          <t>MALÅ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46282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45233</v>
      </c>
      <c r="E269" s="1" t="n">
        <v>46282</v>
      </c>
      <c r="F269" t="inlineStr">
        <is>
          <t>VÄSTERBOTTENS LÄN</t>
        </is>
      </c>
      <c r="G269" t="inlineStr">
        <is>
          <t>MALÅ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46196</v>
      </c>
      <c r="E270" s="1" t="n">
        <v>46282</v>
      </c>
      <c r="F270" t="inlineStr">
        <is>
          <t>VÄSTERBOTTENS LÄN</t>
        </is>
      </c>
      <c r="G270" t="inlineStr">
        <is>
          <t>MALÅ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46282</v>
      </c>
      <c r="F271" t="inlineStr">
        <is>
          <t>VÄSTERBOTTENS LÄN</t>
        </is>
      </c>
      <c r="G271" t="inlineStr">
        <is>
          <t>MALÅ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46282</v>
      </c>
      <c r="F272" t="inlineStr">
        <is>
          <t>VÄSTERBOTTENS LÄN</t>
        </is>
      </c>
      <c r="G272" t="inlineStr">
        <is>
          <t>MALÅ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46282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46282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60591-2024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46282</v>
      </c>
      <c r="F275" t="inlineStr">
        <is>
          <t>VÄSTERBOTTENS LÄN</t>
        </is>
      </c>
      <c r="G275" t="inlineStr">
        <is>
          <t>MALÅ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46282</v>
      </c>
      <c r="F276" t="inlineStr">
        <is>
          <t>VÄSTERBOTTENS LÄN</t>
        </is>
      </c>
      <c r="G276" t="inlineStr">
        <is>
          <t>MALÅ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59866-2021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44491</v>
      </c>
      <c r="E277" s="1" t="n">
        <v>46282</v>
      </c>
      <c r="F277" t="inlineStr">
        <is>
          <t>VÄSTERBOTTENS LÄN</t>
        </is>
      </c>
      <c r="G277" t="inlineStr">
        <is>
          <t>MALÅ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46282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37.2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46282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46246</v>
      </c>
      <c r="E280" s="1" t="n">
        <v>46282</v>
      </c>
      <c r="F280" t="inlineStr">
        <is>
          <t>VÄSTERBOTTENS LÄN</t>
        </is>
      </c>
      <c r="G280" t="inlineStr">
        <is>
          <t>MALÅ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46282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46282</v>
      </c>
      <c r="F282" t="inlineStr">
        <is>
          <t>VÄSTERBOTTENS LÄN</t>
        </is>
      </c>
      <c r="G282" t="inlineStr">
        <is>
          <t>MALÅ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46251</v>
      </c>
      <c r="E283" s="1" t="n">
        <v>46282</v>
      </c>
      <c r="F283" t="inlineStr">
        <is>
          <t>VÄSTERBOTTENS LÄN</t>
        </is>
      </c>
      <c r="G283" t="inlineStr">
        <is>
          <t>MALÅ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46282</v>
      </c>
      <c r="F284" t="inlineStr">
        <is>
          <t>VÄSTERBOTTENS LÄN</t>
        </is>
      </c>
      <c r="G284" t="inlineStr">
        <is>
          <t>MALÅ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46282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46282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30502-2026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46210</v>
      </c>
      <c r="E287" s="1" t="n">
        <v>46282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46253</v>
      </c>
      <c r="E288" s="1" t="n">
        <v>46282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46282</v>
      </c>
      <c r="F289" t="inlineStr">
        <is>
          <t>VÄSTERBOTTENS LÄN</t>
        </is>
      </c>
      <c r="G289" t="inlineStr">
        <is>
          <t>MALÅ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46253</v>
      </c>
      <c r="E290" s="1" t="n">
        <v>46282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46253</v>
      </c>
      <c r="E291" s="1" t="n">
        <v>46282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46282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18.4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46282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46282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46282</v>
      </c>
      <c r="F295" t="inlineStr">
        <is>
          <t>VÄSTERBOTTENS LÄN</t>
        </is>
      </c>
      <c r="G295" t="inlineStr">
        <is>
          <t>MALÅ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46282</v>
      </c>
      <c r="F296" t="inlineStr">
        <is>
          <t>VÄSTERBOTTENS LÄN</t>
        </is>
      </c>
      <c r="G296" t="inlineStr">
        <is>
          <t>MALÅ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46282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46282</v>
      </c>
      <c r="F298" t="inlineStr">
        <is>
          <t>VÄSTERBOTTENS LÄN</t>
        </is>
      </c>
      <c r="G298" t="inlineStr">
        <is>
          <t>MALÅ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46282</v>
      </c>
      <c r="F299" t="inlineStr">
        <is>
          <t>VÄSTERBOTTENS LÄN</t>
        </is>
      </c>
      <c r="G299" t="inlineStr">
        <is>
          <t>MALÅ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46282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46282</v>
      </c>
      <c r="F301" t="inlineStr">
        <is>
          <t>VÄSTERBOTTENS LÄN</t>
        </is>
      </c>
      <c r="G301" t="inlineStr">
        <is>
          <t>MALÅ</t>
        </is>
      </c>
      <c r="I301" t="n">
        <v>17.5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46282</v>
      </c>
      <c r="F302" t="inlineStr">
        <is>
          <t>VÄSTERBOTTENS LÄN</t>
        </is>
      </c>
      <c r="G302" t="inlineStr">
        <is>
          <t>MALÅ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46282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46282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46282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45171</v>
      </c>
      <c r="E306" s="1" t="n">
        <v>46282</v>
      </c>
      <c r="F306" t="inlineStr">
        <is>
          <t>VÄSTERBOTTENS LÄN</t>
        </is>
      </c>
      <c r="G306" t="inlineStr">
        <is>
          <t>MALÅ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46282</v>
      </c>
      <c r="F307" t="inlineStr">
        <is>
          <t>VÄSTERBOTTENS LÄN</t>
        </is>
      </c>
      <c r="G307" t="inlineStr">
        <is>
          <t>MALÅ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HYPERLINK("https://klasma.github.io/Logging_2418/knärot/A 41353-2023 karta knärot.png", "A 41353-2023")</f>
        <v/>
      </c>
      <c r="AA307">
        <f>HYPERLINK("https://klasma.github.io/Logging_2418/klagomål/A 41353-2023 FSC-klagomål.docx", "A 41353-2023")</f>
        <v/>
      </c>
      <c r="AB307">
        <f>HYPERLINK("https://klasma.github.io/Logging_2418/klagomålsmail/A 41353-2023 FSC-klagomål mail.docx", "A 41353-2023")</f>
        <v/>
      </c>
      <c r="AC307">
        <f>HYPERLINK("https://klasma.github.io/Logging_2418/tillsyn/A 41353-2023 tillsynsbegäran.docx", "A 41353-2023")</f>
        <v/>
      </c>
      <c r="AD307">
        <f>HYPERLINK("https://klasma.github.io/Logging_2418/tillsynsmail/A 41353-2023 tillsynsbegäran mail.docx", "A 41353-2023")</f>
        <v/>
      </c>
    </row>
    <row r="308" ht="15" customHeight="1">
      <c r="A308" t="inlineStr">
        <is>
          <t>A 48931-2023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46282</v>
      </c>
      <c r="F308" t="inlineStr">
        <is>
          <t>VÄSTERBOTTENS LÄN</t>
        </is>
      </c>
      <c r="G308" t="inlineStr">
        <is>
          <t>MALÅ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46282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35917-2022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44802</v>
      </c>
      <c r="E310" s="1" t="n">
        <v>46282</v>
      </c>
      <c r="F310" t="inlineStr">
        <is>
          <t>VÄSTERBOTTENS LÄN</t>
        </is>
      </c>
      <c r="G310" t="inlineStr">
        <is>
          <t>MALÅ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46282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30.8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46282</v>
      </c>
      <c r="F312" t="inlineStr">
        <is>
          <t>VÄSTERBOTTENS LÄN</t>
        </is>
      </c>
      <c r="G312" t="inlineStr">
        <is>
          <t>MALÅ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49434-2023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45211</v>
      </c>
      <c r="E313" s="1" t="n">
        <v>46282</v>
      </c>
      <c r="F313" t="inlineStr">
        <is>
          <t>VÄSTERBOTTENS LÄN</t>
        </is>
      </c>
      <c r="G313" t="inlineStr">
        <is>
          <t>MALÅ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45203</v>
      </c>
      <c r="E314" s="1" t="n">
        <v>46282</v>
      </c>
      <c r="F314" t="inlineStr">
        <is>
          <t>VÄSTERBOTTENS LÄN</t>
        </is>
      </c>
      <c r="G314" t="inlineStr">
        <is>
          <t>MALÅ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46282</v>
      </c>
      <c r="F315" t="inlineStr">
        <is>
          <t>VÄSTERBOTTENS LÄN</t>
        </is>
      </c>
      <c r="G315" t="inlineStr">
        <is>
          <t>MALÅ</t>
        </is>
      </c>
      <c r="I315" t="n">
        <v>27.9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46223</v>
      </c>
      <c r="E316" s="1" t="n">
        <v>46282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46223</v>
      </c>
      <c r="E317" s="1" t="n">
        <v>46282</v>
      </c>
      <c r="F317" t="inlineStr">
        <is>
          <t>VÄSTERBOTTENS LÄN</t>
        </is>
      </c>
      <c r="G317" t="inlineStr">
        <is>
          <t>MALÅ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46282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46282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26853-2026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46185</v>
      </c>
      <c r="E320" s="1" t="n">
        <v>46282</v>
      </c>
      <c r="F320" t="inlineStr">
        <is>
          <t>VÄSTERBOTTENS LÄN</t>
        </is>
      </c>
      <c r="G320" t="inlineStr">
        <is>
          <t>MALÅ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46282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11.5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46282</v>
      </c>
      <c r="F322" t="inlineStr">
        <is>
          <t>VÄSTERBOTTENS LÄN</t>
        </is>
      </c>
      <c r="G322" t="inlineStr">
        <is>
          <t>MALÅ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46232</v>
      </c>
      <c r="E323" s="1" t="n">
        <v>46282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46276</v>
      </c>
      <c r="E324" s="1" t="n">
        <v>46282</v>
      </c>
      <c r="F324" t="inlineStr">
        <is>
          <t>VÄSTERBOTTENS LÄN</t>
        </is>
      </c>
      <c r="G324" t="inlineStr">
        <is>
          <t>MALÅ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46276</v>
      </c>
      <c r="E325" s="1" t="n">
        <v>46282</v>
      </c>
      <c r="F325" t="inlineStr">
        <is>
          <t>VÄSTERBOTTENS LÄN</t>
        </is>
      </c>
      <c r="G325" t="inlineStr">
        <is>
          <t>MALÅ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46276</v>
      </c>
      <c r="E326" s="1" t="n">
        <v>46282</v>
      </c>
      <c r="F326" t="inlineStr">
        <is>
          <t>VÄSTERBOTTENS LÄN</t>
        </is>
      </c>
      <c r="G326" t="inlineStr">
        <is>
          <t>MALÅ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46282</v>
      </c>
      <c r="F327" t="inlineStr">
        <is>
          <t>VÄSTERBOTTENS LÄN</t>
        </is>
      </c>
      <c r="G327" t="inlineStr">
        <is>
          <t>MALÅ</t>
        </is>
      </c>
      <c r="H327" t="inlineStr">
        <is>
          <t>SCA</t>
        </is>
      </c>
      <c r="I327" t="n">
        <v>10.5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46282</v>
      </c>
      <c r="F328" t="inlineStr">
        <is>
          <t>VÄSTERBOTTENS LÄN</t>
        </is>
      </c>
      <c r="G328" t="inlineStr">
        <is>
          <t>MALÅ</t>
        </is>
      </c>
      <c r="I328" t="n">
        <v>13.3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46282</v>
      </c>
      <c r="F329" t="inlineStr">
        <is>
          <t>VÄSTERBOTTENS LÄN</t>
        </is>
      </c>
      <c r="G329" t="inlineStr">
        <is>
          <t>MALÅ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46282</v>
      </c>
      <c r="F330" t="inlineStr">
        <is>
          <t>VÄSTERBOTTENS LÄN</t>
        </is>
      </c>
      <c r="G330" t="inlineStr">
        <is>
          <t>MALÅ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46282</v>
      </c>
      <c r="F331" t="inlineStr">
        <is>
          <t>VÄSTERBOTTENS LÄN</t>
        </is>
      </c>
      <c r="G331" t="inlineStr">
        <is>
          <t>MALÅ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45636</v>
      </c>
      <c r="E332" s="1" t="n">
        <v>46282</v>
      </c>
      <c r="F332" t="inlineStr">
        <is>
          <t>VÄSTERBOTTENS LÄN</t>
        </is>
      </c>
      <c r="G332" t="inlineStr">
        <is>
          <t>MALÅ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46282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45454</v>
      </c>
      <c r="E334" s="1" t="n">
        <v>46282</v>
      </c>
      <c r="F334" t="inlineStr">
        <is>
          <t>VÄSTERBOTTENS LÄN</t>
        </is>
      </c>
      <c r="G334" t="inlineStr">
        <is>
          <t>MALÅ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67383-2021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46282</v>
      </c>
      <c r="F335" t="inlineStr">
        <is>
          <t>VÄSTERBOTTENS LÄN</t>
        </is>
      </c>
      <c r="G335" t="inlineStr">
        <is>
          <t>MALÅ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57499-2022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44889</v>
      </c>
      <c r="E336" s="1" t="n">
        <v>46282</v>
      </c>
      <c r="F336" t="inlineStr">
        <is>
          <t>VÄSTERBOTTENS LÄN</t>
        </is>
      </c>
      <c r="G336" t="inlineStr">
        <is>
          <t>MALÅ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46282</v>
      </c>
      <c r="F337" t="inlineStr">
        <is>
          <t>VÄSTERBOTTENS LÄN</t>
        </is>
      </c>
      <c r="G337" t="inlineStr">
        <is>
          <t>MALÅ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46282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46282</v>
      </c>
      <c r="F339" t="inlineStr">
        <is>
          <t>VÄSTERBOTTENS LÄN</t>
        </is>
      </c>
      <c r="G339" t="inlineStr">
        <is>
          <t>MALÅ</t>
        </is>
      </c>
      <c r="I339" t="n">
        <v>22.9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59801-2021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44491</v>
      </c>
      <c r="E340" s="1" t="n">
        <v>46282</v>
      </c>
      <c r="F340" t="inlineStr">
        <is>
          <t>VÄSTERBOTTENS LÄN</t>
        </is>
      </c>
      <c r="G340" t="inlineStr">
        <is>
          <t>MALÅ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32979-2024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45516</v>
      </c>
      <c r="E341" s="1" t="n">
        <v>46282</v>
      </c>
      <c r="F341" t="inlineStr">
        <is>
          <t>VÄSTERBOTTENS LÄN</t>
        </is>
      </c>
      <c r="G341" t="inlineStr">
        <is>
          <t>MALÅ</t>
        </is>
      </c>
      <c r="I341" t="n">
        <v>15.5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45152</v>
      </c>
      <c r="E342" s="1" t="n">
        <v>46282</v>
      </c>
      <c r="F342" t="inlineStr">
        <is>
          <t>VÄSTERBOTTENS LÄN</t>
        </is>
      </c>
      <c r="G342" t="inlineStr">
        <is>
          <t>MALÅ</t>
        </is>
      </c>
      <c r="I342" t="n">
        <v>16.6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46282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2026-09-17T01:59:43Z</dcterms:created>
  <dcterms:modified xmlns:dcterms="http://purl.org/dc/terms/" xmlns:xsi="http://www.w3.org/2001/XMLSchema-instance" xsi:type="dcterms:W3CDTF">2026-09-17T01:59:43Z</dcterms:modified>
</cp:coreProperties>
</file>