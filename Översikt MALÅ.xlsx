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46311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46311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46311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46311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A 42818-2026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46309</v>
      </c>
      <c r="E6" s="1" t="n">
        <v>46311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19.8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Gränsticka
Fjällummer × plattlummer</t>
        </is>
      </c>
      <c r="W6">
        <f>HYPERLINK("https://klasma.github.io/Logging_2418/artfynd/A 42818-2026 artfynd.xlsx", "A 42818-2026")</f>
        <v/>
      </c>
      <c r="X6">
        <f>HYPERLINK("https://klasma.github.io/Logging_2418/kartor/A 42818-2026 karta.png", "A 42818-2026")</f>
        <v/>
      </c>
      <c r="Y6">
        <f>HYPERLINK("https://klasma.github.io/Logging_2418/kartor_geotiff/A 42818-2026 georefererad karta.tif", "A 42818-2026")</f>
        <v/>
      </c>
      <c r="AA6">
        <f>HYPERLINK("https://klasma.github.io/Logging_2418/klagomål/A 42818-2026 FSC-klagomål.docx", "A 42818-2026")</f>
        <v/>
      </c>
      <c r="AB6">
        <f>HYPERLINK("https://klasma.github.io/Logging_2418/klagomålsmail/A 42818-2026 FSC-klagomål mail.docx", "A 42818-2026")</f>
        <v/>
      </c>
      <c r="AC6">
        <f>HYPERLINK("https://klasma.github.io/Logging_2418/tillsyn/A 42818-2026 tillsynsbegäran.docx", "A 42818-2026")</f>
        <v/>
      </c>
      <c r="AD6">
        <f>HYPERLINK("https://klasma.github.io/Logging_2418/tillsynsmail/A 42818-2026 tillsynsbegäran mail.docx", "A 42818-2026")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46311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41840-2023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45176</v>
      </c>
      <c r="E8" s="1" t="n">
        <v>46311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15.9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Robust tickgnagare</t>
        </is>
      </c>
      <c r="W8">
        <f>HYPERLINK("https://klasma.github.io/Logging_2418/artfynd/A 41840-2023 artfynd.xlsx", "A 41840-2023")</f>
        <v/>
      </c>
      <c r="X8">
        <f>HYPERLINK("https://klasma.github.io/Logging_2418/kartor/A 41840-2023 karta.png", "A 41840-2023")</f>
        <v/>
      </c>
      <c r="Y8">
        <f>HYPERLINK("https://klasma.github.io/Logging_2418/kartor_geotiff/A 41840-2023 georefererad karta.tif", "A 41840-2023")</f>
        <v/>
      </c>
      <c r="AA8">
        <f>HYPERLINK("https://klasma.github.io/Logging_2418/klagomål/A 41840-2023 FSC-klagomål.docx", "A 41840-2023")</f>
        <v/>
      </c>
      <c r="AB8">
        <f>HYPERLINK("https://klasma.github.io/Logging_2418/klagomålsmail/A 41840-2023 FSC-klagomål mail.docx", "A 41840-2023")</f>
        <v/>
      </c>
      <c r="AC8">
        <f>HYPERLINK("https://klasma.github.io/Logging_2418/tillsyn/A 41840-2023 tillsynsbegäran.docx", "A 41840-2023")</f>
        <v/>
      </c>
      <c r="AD8">
        <f>HYPERLINK("https://klasma.github.io/Logging_2418/tillsynsmail/A 41840-2023 tillsynsbegäran mail.docx", "A 41840-2023")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46311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49040-2025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46311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Orange taggsvamp</t>
        </is>
      </c>
      <c r="W10">
        <f>HYPERLINK("https://klasma.github.io/Logging_2418/artfynd/A 49040-2025 artfynd.xlsx", "A 49040-2025")</f>
        <v/>
      </c>
      <c r="X10">
        <f>HYPERLINK("https://klasma.github.io/Logging_2418/kartor/A 49040-2025 karta.png", "A 49040-2025")</f>
        <v/>
      </c>
      <c r="Y10">
        <f>HYPERLINK("https://klasma.github.io/Logging_2418/kartor_geotiff/A 49040-2025 georefererad karta.tif", "A 49040-2025")</f>
        <v/>
      </c>
      <c r="AA10">
        <f>HYPERLINK("https://klasma.github.io/Logging_2418/klagomål/A 49040-2025 FSC-klagomål.docx", "A 49040-2025")</f>
        <v/>
      </c>
      <c r="AB10">
        <f>HYPERLINK("https://klasma.github.io/Logging_2418/klagomålsmail/A 49040-2025 FSC-klagomål mail.docx", "A 49040-2025")</f>
        <v/>
      </c>
      <c r="AC10">
        <f>HYPERLINK("https://klasma.github.io/Logging_2418/tillsyn/A 49040-2025 tillsynsbegäran.docx", "A 49040-2025")</f>
        <v/>
      </c>
      <c r="AD10">
        <f>HYPERLINK("https://klasma.github.io/Logging_2418/tillsynsmail/A 49040-2025 tillsynsbegäran mail.docx", "A 49040-2025")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46311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46311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5658-2026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46051</v>
      </c>
      <c r="E13" s="1" t="n">
        <v>46311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8.6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Grantaggsvamp</t>
        </is>
      </c>
      <c r="W13">
        <f>HYPERLINK("https://klasma.github.io/Logging_2418/artfynd/A 5658-2026 artfynd.xlsx", "A 5658-2026")</f>
        <v/>
      </c>
      <c r="X13">
        <f>HYPERLINK("https://klasma.github.io/Logging_2418/kartor/A 5658-2026 karta.png", "A 5658-2026")</f>
        <v/>
      </c>
      <c r="Y13">
        <f>HYPERLINK("https://klasma.github.io/Logging_2418/kartor_geotiff/A 5658-2026 georefererad karta.tif", "A 5658-2026")</f>
        <v/>
      </c>
      <c r="AA13">
        <f>HYPERLINK("https://klasma.github.io/Logging_2418/klagomål/A 5658-2026 FSC-klagomål.docx", "A 5658-2026")</f>
        <v/>
      </c>
      <c r="AB13">
        <f>HYPERLINK("https://klasma.github.io/Logging_2418/klagomålsmail/A 5658-2026 FSC-klagomål mail.docx", "A 5658-2026")</f>
        <v/>
      </c>
      <c r="AC13">
        <f>HYPERLINK("https://klasma.github.io/Logging_2418/tillsyn/A 5658-2026 tillsynsbegäran.docx", "A 5658-2026")</f>
        <v/>
      </c>
      <c r="AD13">
        <f>HYPERLINK("https://klasma.github.io/Logging_2418/tillsynsmail/A 5658-2026 tillsynsbegäran mail.docx", "A 5658-2026")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46311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46026-2022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46311</v>
      </c>
      <c r="F15" t="inlineStr">
        <is>
          <t>VÄSTERBOTTENS LÄN</t>
        </is>
      </c>
      <c r="G15" t="inlineStr">
        <is>
          <t>MALÅ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46311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46311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46311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46311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46311</v>
      </c>
      <c r="F20" t="inlineStr">
        <is>
          <t>VÄSTERBOTTENS LÄN</t>
        </is>
      </c>
      <c r="G20" t="inlineStr">
        <is>
          <t>MALÅ</t>
        </is>
      </c>
      <c r="I20" t="n">
        <v>48.2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29375-2023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45098</v>
      </c>
      <c r="E21" s="1" t="n">
        <v>46311</v>
      </c>
      <c r="F21" t="inlineStr">
        <is>
          <t>VÄSTERBOTTENS LÄN</t>
        </is>
      </c>
      <c r="G21" t="inlineStr">
        <is>
          <t>MALÅ</t>
        </is>
      </c>
      <c r="I21" t="n">
        <v>10.5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4077-2022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46311</v>
      </c>
      <c r="F22" t="inlineStr">
        <is>
          <t>VÄSTERBOTTENS LÄN</t>
        </is>
      </c>
      <c r="G22" t="inlineStr">
        <is>
          <t>MALÅ</t>
        </is>
      </c>
      <c r="I22" t="n">
        <v>10.4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24924-2025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46311</v>
      </c>
      <c r="F23" t="inlineStr">
        <is>
          <t>VÄSTERBOTTENS LÄN</t>
        </is>
      </c>
      <c r="G23" t="inlineStr">
        <is>
          <t>MALÅ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26892-2022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44740</v>
      </c>
      <c r="E24" s="1" t="n">
        <v>46311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48931-2023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46311</v>
      </c>
      <c r="F25" t="inlineStr">
        <is>
          <t>VÄSTERBOTTENS LÄN</t>
        </is>
      </c>
      <c r="G25" t="inlineStr">
        <is>
          <t>MALÅ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51357-2023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45219</v>
      </c>
      <c r="E26" s="1" t="n">
        <v>46311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10.8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45174</v>
      </c>
      <c r="E27" s="1" t="n">
        <v>46311</v>
      </c>
      <c r="F27" t="inlineStr">
        <is>
          <t>VÄSTERBOTTENS LÄN</t>
        </is>
      </c>
      <c r="G27" t="inlineStr">
        <is>
          <t>MALÅ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39246-2023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46311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41792-2023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46311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10.7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45700</v>
      </c>
      <c r="E30" s="1" t="n">
        <v>46311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48089-2024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45589</v>
      </c>
      <c r="E31" s="1" t="n">
        <v>46311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46311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45022</v>
      </c>
      <c r="E33" s="1" t="n">
        <v>46311</v>
      </c>
      <c r="F33" t="inlineStr">
        <is>
          <t>VÄSTERBOTTENS LÄN</t>
        </is>
      </c>
      <c r="G33" t="inlineStr">
        <is>
          <t>MALÅ</t>
        </is>
      </c>
      <c r="I33" t="n">
        <v>5.6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36706-2023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45152</v>
      </c>
      <c r="E34" s="1" t="n">
        <v>46311</v>
      </c>
      <c r="F34" t="inlineStr">
        <is>
          <t>VÄSTERBOTTENS LÄN</t>
        </is>
      </c>
      <c r="G34" t="inlineStr">
        <is>
          <t>MALÅ</t>
        </is>
      </c>
      <c r="I34" t="n">
        <v>41.7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44881</v>
      </c>
      <c r="E35" s="1" t="n">
        <v>46311</v>
      </c>
      <c r="F35" t="inlineStr">
        <is>
          <t>VÄSTERBOTTENS LÄN</t>
        </is>
      </c>
      <c r="G35" t="inlineStr">
        <is>
          <t>MALÅ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52270-2023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46311</v>
      </c>
      <c r="F36" t="inlineStr">
        <is>
          <t>VÄSTERBOTTENS LÄN</t>
        </is>
      </c>
      <c r="G36" t="inlineStr">
        <is>
          <t>MALÅ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59067-2023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45252</v>
      </c>
      <c r="E37" s="1" t="n">
        <v>46311</v>
      </c>
      <c r="F37" t="inlineStr">
        <is>
          <t>VÄSTERBOTTENS LÄN</t>
        </is>
      </c>
      <c r="G37" t="inlineStr">
        <is>
          <t>MALÅ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42214-2023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45179</v>
      </c>
      <c r="E38" s="1" t="n">
        <v>46311</v>
      </c>
      <c r="F38" t="inlineStr">
        <is>
          <t>VÄSTERBOTTENS LÄN</t>
        </is>
      </c>
      <c r="G38" t="inlineStr">
        <is>
          <t>MALÅ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45167</v>
      </c>
      <c r="E39" s="1" t="n">
        <v>46311</v>
      </c>
      <c r="F39" t="inlineStr">
        <is>
          <t>VÄSTERBOTTENS LÄN</t>
        </is>
      </c>
      <c r="G39" t="inlineStr">
        <is>
          <t>MALÅ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45393</v>
      </c>
      <c r="E40" s="1" t="n">
        <v>46311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45384</v>
      </c>
      <c r="E41" s="1" t="n">
        <v>46311</v>
      </c>
      <c r="F41" t="inlineStr">
        <is>
          <t>VÄSTERBOTTENS LÄN</t>
        </is>
      </c>
      <c r="G41" t="inlineStr">
        <is>
          <t>MALÅ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47434-2023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46311</v>
      </c>
      <c r="F42" t="inlineStr">
        <is>
          <t>VÄSTERBOTTENS LÄN</t>
        </is>
      </c>
      <c r="G42" t="inlineStr">
        <is>
          <t>MALÅ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46311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45267</v>
      </c>
      <c r="E44" s="1" t="n">
        <v>46311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62124-2024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45646</v>
      </c>
      <c r="E45" s="1" t="n">
        <v>46311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35844-2023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46311</v>
      </c>
      <c r="F46" t="inlineStr">
        <is>
          <t>VÄSTERBOTTENS LÄN</t>
        </is>
      </c>
      <c r="G46" t="inlineStr">
        <is>
          <t>MALÅ</t>
        </is>
      </c>
      <c r="I46" t="n">
        <v>26.3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45245</v>
      </c>
      <c r="E47" s="1" t="n">
        <v>46311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45860</v>
      </c>
      <c r="E48" s="1" t="n">
        <v>46311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14.8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35723-2025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45860</v>
      </c>
      <c r="E49" s="1" t="n">
        <v>46311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45861</v>
      </c>
      <c r="E50" s="1" t="n">
        <v>46311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7.5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45861</v>
      </c>
      <c r="E51" s="1" t="n">
        <v>46311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46311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45861</v>
      </c>
      <c r="E53" s="1" t="n">
        <v>46311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45861</v>
      </c>
      <c r="E54" s="1" t="n">
        <v>46311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39622-2025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46311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55672-2023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45238</v>
      </c>
      <c r="E56" s="1" t="n">
        <v>46311</v>
      </c>
      <c r="F56" t="inlineStr">
        <is>
          <t>VÄSTERBOTTENS LÄN</t>
        </is>
      </c>
      <c r="G56" t="inlineStr">
        <is>
          <t>MALÅ</t>
        </is>
      </c>
      <c r="H56" t="inlineStr">
        <is>
          <t>SCA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41360-2023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45174</v>
      </c>
      <c r="E57" s="1" t="n">
        <v>46311</v>
      </c>
      <c r="F57" t="inlineStr">
        <is>
          <t>VÄSTERBOTTENS LÄN</t>
        </is>
      </c>
      <c r="G57" t="inlineStr">
        <is>
          <t>MALÅ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39794-2023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45167</v>
      </c>
      <c r="E58" s="1" t="n">
        <v>46311</v>
      </c>
      <c r="F58" t="inlineStr">
        <is>
          <t>VÄSTERBOTTENS LÄN</t>
        </is>
      </c>
      <c r="G58" t="inlineStr">
        <is>
          <t>MALÅ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46311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45158</v>
      </c>
      <c r="E60" s="1" t="n">
        <v>46311</v>
      </c>
      <c r="F60" t="inlineStr">
        <is>
          <t>VÄSTERBOTTENS LÄN</t>
        </is>
      </c>
      <c r="G60" t="inlineStr">
        <is>
          <t>MALÅ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45504</v>
      </c>
      <c r="E61" s="1" t="n">
        <v>46311</v>
      </c>
      <c r="F61" t="inlineStr">
        <is>
          <t>VÄSTERBOTTENS LÄN</t>
        </is>
      </c>
      <c r="G61" t="inlineStr">
        <is>
          <t>MALÅ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37119-2025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45875</v>
      </c>
      <c r="E62" s="1" t="n">
        <v>46311</v>
      </c>
      <c r="F62" t="inlineStr">
        <is>
          <t>VÄSTERBOTTENS LÄN</t>
        </is>
      </c>
      <c r="G62" t="inlineStr">
        <is>
          <t>MALÅ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46311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45156</v>
      </c>
      <c r="E64" s="1" t="n">
        <v>46311</v>
      </c>
      <c r="F64" t="inlineStr">
        <is>
          <t>VÄSTERBOTTENS LÄN</t>
        </is>
      </c>
      <c r="G64" t="inlineStr">
        <is>
          <t>MALÅ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39385-2023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46311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58240-2022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46311</v>
      </c>
      <c r="F66" t="inlineStr">
        <is>
          <t>VÄSTERBOTTENS LÄN</t>
        </is>
      </c>
      <c r="G66" t="inlineStr">
        <is>
          <t>MALÅ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46311</v>
      </c>
      <c r="F67" t="inlineStr">
        <is>
          <t>VÄSTERBOTTENS LÄN</t>
        </is>
      </c>
      <c r="G67" t="inlineStr">
        <is>
          <t>MALÅ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45154</v>
      </c>
      <c r="E68" s="1" t="n">
        <v>46311</v>
      </c>
      <c r="F68" t="inlineStr">
        <is>
          <t>VÄSTERBOTTENS LÄN</t>
        </is>
      </c>
      <c r="G68" t="inlineStr">
        <is>
          <t>MALÅ</t>
        </is>
      </c>
      <c r="I68" t="n">
        <v>8.9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37444-2023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45155</v>
      </c>
      <c r="E69" s="1" t="n">
        <v>46311</v>
      </c>
      <c r="F69" t="inlineStr">
        <is>
          <t>VÄSTERBOTTENS LÄN</t>
        </is>
      </c>
      <c r="G69" t="inlineStr">
        <is>
          <t>MALÅ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31088-2024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45502</v>
      </c>
      <c r="E70" s="1" t="n">
        <v>46311</v>
      </c>
      <c r="F70" t="inlineStr">
        <is>
          <t>VÄSTERBOTTENS LÄN</t>
        </is>
      </c>
      <c r="G70" t="inlineStr">
        <is>
          <t>MALÅ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36425-2023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45152</v>
      </c>
      <c r="E71" s="1" t="n">
        <v>46311</v>
      </c>
      <c r="F71" t="inlineStr">
        <is>
          <t>VÄSTERBOTTENS LÄN</t>
        </is>
      </c>
      <c r="G71" t="inlineStr">
        <is>
          <t>MALÅ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44928</v>
      </c>
      <c r="E72" s="1" t="n">
        <v>46311</v>
      </c>
      <c r="F72" t="inlineStr">
        <is>
          <t>VÄSTERBOTTENS LÄN</t>
        </is>
      </c>
      <c r="G72" t="inlineStr">
        <is>
          <t>MALÅ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52795-2024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46311</v>
      </c>
      <c r="F73" t="inlineStr">
        <is>
          <t>VÄSTERBOTTENS LÄN</t>
        </is>
      </c>
      <c r="G73" t="inlineStr">
        <is>
          <t>MALÅ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45161</v>
      </c>
      <c r="E74" s="1" t="n">
        <v>46311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63.6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46311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22.4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46311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46097</v>
      </c>
      <c r="E77" s="1" t="n">
        <v>46311</v>
      </c>
      <c r="F77" t="inlineStr">
        <is>
          <t>VÄSTERBOTTENS LÄN</t>
        </is>
      </c>
      <c r="G77" t="inlineStr">
        <is>
          <t>MALÅ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46311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13.8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46311</v>
      </c>
      <c r="F79" t="inlineStr">
        <is>
          <t>VÄSTERBOTTENS LÄN</t>
        </is>
      </c>
      <c r="G79" t="inlineStr">
        <is>
          <t>MALÅ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40370-2023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46311</v>
      </c>
      <c r="F80" t="inlineStr">
        <is>
          <t>VÄSTERBOTTENS LÄN</t>
        </is>
      </c>
      <c r="G80" t="inlineStr">
        <is>
          <t>MALÅ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46105</v>
      </c>
      <c r="E81" s="1" t="n">
        <v>46311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46105</v>
      </c>
      <c r="E82" s="1" t="n">
        <v>46311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32772-2024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45516</v>
      </c>
      <c r="E83" s="1" t="n">
        <v>46311</v>
      </c>
      <c r="F83" t="inlineStr">
        <is>
          <t>VÄSTERBOTTENS LÄN</t>
        </is>
      </c>
      <c r="G83" t="inlineStr">
        <is>
          <t>MALÅ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61609-2024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46311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46311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30.8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34413-2023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45139</v>
      </c>
      <c r="E86" s="1" t="n">
        <v>46311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40943-2025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45897</v>
      </c>
      <c r="E87" s="1" t="n">
        <v>46311</v>
      </c>
      <c r="F87" t="inlineStr">
        <is>
          <t>VÄSTERBOTTENS LÄN</t>
        </is>
      </c>
      <c r="G87" t="inlineStr">
        <is>
          <t>MALÅ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20234-2023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45054</v>
      </c>
      <c r="E88" s="1" t="n">
        <v>46311</v>
      </c>
      <c r="F88" t="inlineStr">
        <is>
          <t>VÄSTERBOTTENS LÄN</t>
        </is>
      </c>
      <c r="G88" t="inlineStr">
        <is>
          <t>MALÅ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45170</v>
      </c>
      <c r="E89" s="1" t="n">
        <v>46311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18.2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45901</v>
      </c>
      <c r="E90" s="1" t="n">
        <v>46311</v>
      </c>
      <c r="F90" t="inlineStr">
        <is>
          <t>VÄSTERBOTTENS LÄN</t>
        </is>
      </c>
      <c r="G90" t="inlineStr">
        <is>
          <t>MALÅ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45154</v>
      </c>
      <c r="E91" s="1" t="n">
        <v>46311</v>
      </c>
      <c r="F91" t="inlineStr">
        <is>
          <t>VÄSTERBOTTENS LÄN</t>
        </is>
      </c>
      <c r="G91" t="inlineStr">
        <is>
          <t>MALÅ</t>
        </is>
      </c>
      <c r="I91" t="n">
        <v>63.5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46311</v>
      </c>
      <c r="F92" t="inlineStr">
        <is>
          <t>VÄSTERBOTTENS LÄN</t>
        </is>
      </c>
      <c r="G92" t="inlineStr">
        <is>
          <t>MALÅ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17020-2026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46114</v>
      </c>
      <c r="E93" s="1" t="n">
        <v>46311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19.7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45154</v>
      </c>
      <c r="E94" s="1" t="n">
        <v>46311</v>
      </c>
      <c r="F94" t="inlineStr">
        <is>
          <t>VÄSTERBOTTENS LÄN</t>
        </is>
      </c>
      <c r="G94" t="inlineStr">
        <is>
          <t>MALÅ</t>
        </is>
      </c>
      <c r="I94" t="n">
        <v>73.7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53657-2023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45230</v>
      </c>
      <c r="E95" s="1" t="n">
        <v>46311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45590</v>
      </c>
      <c r="E96" s="1" t="n">
        <v>46311</v>
      </c>
      <c r="F96" t="inlineStr">
        <is>
          <t>VÄSTERBOTTENS LÄN</t>
        </is>
      </c>
      <c r="G96" t="inlineStr">
        <is>
          <t>MALÅ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46311</v>
      </c>
      <c r="F97" t="inlineStr">
        <is>
          <t>VÄSTERBOTTENS LÄN</t>
        </is>
      </c>
      <c r="G97" t="inlineStr">
        <is>
          <t>MALÅ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46311</v>
      </c>
      <c r="F98" t="inlineStr">
        <is>
          <t>VÄSTERBOTTENS LÄN</t>
        </is>
      </c>
      <c r="G98" t="inlineStr">
        <is>
          <t>MALÅ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48327-2023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46311</v>
      </c>
      <c r="F99" t="inlineStr">
        <is>
          <t>VÄSTERBOTTENS LÄN</t>
        </is>
      </c>
      <c r="G99" t="inlineStr">
        <is>
          <t>MALÅ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46311</v>
      </c>
      <c r="F100" t="inlineStr">
        <is>
          <t>VÄSTERBOTTENS LÄN</t>
        </is>
      </c>
      <c r="G100" t="inlineStr">
        <is>
          <t>MALÅ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  <c r="Z100">
        <f>HYPERLINK("https://klasma.github.io/Logging_2418/knärot/A 41353-2023 karta knärot.png", "A 41353-2023")</f>
        <v/>
      </c>
      <c r="AA100">
        <f>HYPERLINK("https://klasma.github.io/Logging_2418/klagomål/A 41353-2023 FSC-klagomål.docx", "A 41353-2023")</f>
        <v/>
      </c>
      <c r="AB100">
        <f>HYPERLINK("https://klasma.github.io/Logging_2418/klagomålsmail/A 41353-2023 FSC-klagomål mail.docx", "A 41353-2023")</f>
        <v/>
      </c>
      <c r="AC100">
        <f>HYPERLINK("https://klasma.github.io/Logging_2418/tillsyn/A 41353-2023 tillsynsbegäran.docx", "A 41353-2023")</f>
        <v/>
      </c>
      <c r="AD100">
        <f>HYPERLINK("https://klasma.github.io/Logging_2418/tillsynsmail/A 41353-2023 tillsynsbegäran mail.docx", "A 41353-2023")</f>
        <v/>
      </c>
    </row>
    <row r="101" ht="15" customHeight="1">
      <c r="A101" t="inlineStr">
        <is>
          <t>A 19290-2026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46133</v>
      </c>
      <c r="E101" s="1" t="n">
        <v>46311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60616-2024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46311</v>
      </c>
      <c r="F102" t="inlineStr">
        <is>
          <t>VÄSTERBOTTENS LÄN</t>
        </is>
      </c>
      <c r="G102" t="inlineStr">
        <is>
          <t>MALÅ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46133</v>
      </c>
      <c r="E103" s="1" t="n">
        <v>46311</v>
      </c>
      <c r="F103" t="inlineStr">
        <is>
          <t>VÄSTERBOTTENS LÄN</t>
        </is>
      </c>
      <c r="G103" t="inlineStr">
        <is>
          <t>MALÅ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45162</v>
      </c>
      <c r="E104" s="1" t="n">
        <v>46311</v>
      </c>
      <c r="F104" t="inlineStr">
        <is>
          <t>VÄSTERBOTTENS LÄN</t>
        </is>
      </c>
      <c r="G104" t="inlineStr">
        <is>
          <t>MALÅ</t>
        </is>
      </c>
      <c r="I104" t="n">
        <v>17.5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19286-2026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46311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55.9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43952-2023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46311</v>
      </c>
      <c r="F106" t="inlineStr">
        <is>
          <t>VÄSTERBOTTENS LÄN</t>
        </is>
      </c>
      <c r="G106" t="inlineStr">
        <is>
          <t>MALÅ</t>
        </is>
      </c>
      <c r="H106" t="inlineStr">
        <is>
          <t>SCA</t>
        </is>
      </c>
      <c r="I106" t="n">
        <v>11.5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46311</v>
      </c>
      <c r="F107" t="inlineStr">
        <is>
          <t>VÄSTERBOTTENS LÄN</t>
        </is>
      </c>
      <c r="G107" t="inlineStr">
        <is>
          <t>MALÅ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46133</v>
      </c>
      <c r="E108" s="1" t="n">
        <v>46311</v>
      </c>
      <c r="F108" t="inlineStr">
        <is>
          <t>VÄSTERBOTTENS LÄN</t>
        </is>
      </c>
      <c r="G108" t="inlineStr">
        <is>
          <t>MALÅ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45152</v>
      </c>
      <c r="E109" s="1" t="n">
        <v>46311</v>
      </c>
      <c r="F109" t="inlineStr">
        <is>
          <t>VÄSTERBOTTENS LÄN</t>
        </is>
      </c>
      <c r="G109" t="inlineStr">
        <is>
          <t>MALÅ</t>
        </is>
      </c>
      <c r="I109" t="n">
        <v>13.3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45154</v>
      </c>
      <c r="E110" s="1" t="n">
        <v>46311</v>
      </c>
      <c r="F110" t="inlineStr">
        <is>
          <t>VÄSTERBOTTENS LÄN</t>
        </is>
      </c>
      <c r="G110" t="inlineStr">
        <is>
          <t>MALÅ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37785-2023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46311</v>
      </c>
      <c r="F111" t="inlineStr">
        <is>
          <t>VÄSTERBOTTENS LÄN</t>
        </is>
      </c>
      <c r="G111" t="inlineStr">
        <is>
          <t>MALÅ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46311</v>
      </c>
      <c r="F112" t="inlineStr">
        <is>
          <t>VÄSTERBOTTENS LÄN</t>
        </is>
      </c>
      <c r="G112" t="inlineStr">
        <is>
          <t>MALÅ</t>
        </is>
      </c>
      <c r="H112" t="inlineStr">
        <is>
          <t>SCA</t>
        </is>
      </c>
      <c r="I112" t="n">
        <v>25.9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46311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40607-2023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45170</v>
      </c>
      <c r="E114" s="1" t="n">
        <v>46311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50517-2024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46311</v>
      </c>
      <c r="F115" t="inlineStr">
        <is>
          <t>VÄSTERBOTTENS LÄN</t>
        </is>
      </c>
      <c r="G115" t="inlineStr">
        <is>
          <t>MALÅ</t>
        </is>
      </c>
      <c r="H115" t="inlineStr">
        <is>
          <t>SCA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46311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45190</v>
      </c>
      <c r="E117" s="1" t="n">
        <v>46311</v>
      </c>
      <c r="F117" t="inlineStr">
        <is>
          <t>VÄSTERBOTTENS LÄN</t>
        </is>
      </c>
      <c r="G117" t="inlineStr">
        <is>
          <t>MALÅ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36742-2023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45153</v>
      </c>
      <c r="E118" s="1" t="n">
        <v>46311</v>
      </c>
      <c r="F118" t="inlineStr">
        <is>
          <t>VÄSTERBOTTENS LÄN</t>
        </is>
      </c>
      <c r="G118" t="inlineStr">
        <is>
          <t>MALÅ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45153</v>
      </c>
      <c r="E119" s="1" t="n">
        <v>46311</v>
      </c>
      <c r="F119" t="inlineStr">
        <is>
          <t>VÄSTERBOTTENS LÄN</t>
        </is>
      </c>
      <c r="G119" t="inlineStr">
        <is>
          <t>MALÅ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45193</v>
      </c>
      <c r="E120" s="1" t="n">
        <v>46311</v>
      </c>
      <c r="F120" t="inlineStr">
        <is>
          <t>VÄSTERBOTTENS LÄN</t>
        </is>
      </c>
      <c r="G120" t="inlineStr">
        <is>
          <t>MALÅ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45193</v>
      </c>
      <c r="E121" s="1" t="n">
        <v>46311</v>
      </c>
      <c r="F121" t="inlineStr">
        <is>
          <t>VÄSTERBOTTENS LÄN</t>
        </is>
      </c>
      <c r="G121" t="inlineStr">
        <is>
          <t>MALÅ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46311</v>
      </c>
      <c r="F122" t="inlineStr">
        <is>
          <t>VÄSTERBOTTENS LÄN</t>
        </is>
      </c>
      <c r="G122" t="inlineStr">
        <is>
          <t>MALÅ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46311</v>
      </c>
      <c r="F123" t="inlineStr">
        <is>
          <t>VÄSTERBOTTENS LÄN</t>
        </is>
      </c>
      <c r="G123" t="inlineStr">
        <is>
          <t>MALÅ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44964</v>
      </c>
      <c r="E124" s="1" t="n">
        <v>46311</v>
      </c>
      <c r="F124" t="inlineStr">
        <is>
          <t>VÄSTERBOTTENS LÄN</t>
        </is>
      </c>
      <c r="G124" t="inlineStr">
        <is>
          <t>MALÅ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49434-2023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45211</v>
      </c>
      <c r="E125" s="1" t="n">
        <v>46311</v>
      </c>
      <c r="F125" t="inlineStr">
        <is>
          <t>VÄSTERBOTTENS LÄN</t>
        </is>
      </c>
      <c r="G125" t="inlineStr">
        <is>
          <t>MALÅ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46311</v>
      </c>
      <c r="F126" t="inlineStr">
        <is>
          <t>VÄSTERBOTTENS LÄN</t>
        </is>
      </c>
      <c r="G126" t="inlineStr">
        <is>
          <t>MALÅ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46311</v>
      </c>
      <c r="F127" t="inlineStr">
        <is>
          <t>VÄSTERBOTTENS LÄN</t>
        </is>
      </c>
      <c r="G127" t="inlineStr">
        <is>
          <t>MALÅ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44792</v>
      </c>
      <c r="E128" s="1" t="n">
        <v>46311</v>
      </c>
      <c r="F128" t="inlineStr">
        <is>
          <t>VÄSTERBOTTENS LÄN</t>
        </is>
      </c>
      <c r="G128" t="inlineStr">
        <is>
          <t>MALÅ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42988-2023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45182</v>
      </c>
      <c r="E129" s="1" t="n">
        <v>46311</v>
      </c>
      <c r="F129" t="inlineStr">
        <is>
          <t>VÄSTERBOTTENS LÄN</t>
        </is>
      </c>
      <c r="G129" t="inlineStr">
        <is>
          <t>MALÅ</t>
        </is>
      </c>
      <c r="I129" t="n">
        <v>10.5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45714</v>
      </c>
      <c r="E130" s="1" t="n">
        <v>46311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18.7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45989</v>
      </c>
      <c r="E131" s="1" t="n">
        <v>46311</v>
      </c>
      <c r="F131" t="inlineStr">
        <is>
          <t>VÄSTERBOTTENS LÄN</t>
        </is>
      </c>
      <c r="G131" t="inlineStr">
        <is>
          <t>MALÅ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45646</v>
      </c>
      <c r="E132" s="1" t="n">
        <v>46311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59866-2021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44491</v>
      </c>
      <c r="E133" s="1" t="n">
        <v>46311</v>
      </c>
      <c r="F133" t="inlineStr">
        <is>
          <t>VÄSTERBOTTENS LÄN</t>
        </is>
      </c>
      <c r="G133" t="inlineStr">
        <is>
          <t>MALÅ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45204</v>
      </c>
      <c r="E134" s="1" t="n">
        <v>46311</v>
      </c>
      <c r="F134" t="inlineStr">
        <is>
          <t>VÄSTERBOTTENS LÄN</t>
        </is>
      </c>
      <c r="G134" t="inlineStr">
        <is>
          <t>MALÅ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46311</v>
      </c>
      <c r="F135" t="inlineStr">
        <is>
          <t>VÄSTERBOTTENS LÄN</t>
        </is>
      </c>
      <c r="G135" t="inlineStr">
        <is>
          <t>MALÅ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45744-2023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45193</v>
      </c>
      <c r="E136" s="1" t="n">
        <v>46311</v>
      </c>
      <c r="F136" t="inlineStr">
        <is>
          <t>VÄSTERBOTTENS LÄN</t>
        </is>
      </c>
      <c r="G136" t="inlineStr">
        <is>
          <t>MALÅ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45625</v>
      </c>
      <c r="E137" s="1" t="n">
        <v>46311</v>
      </c>
      <c r="F137" t="inlineStr">
        <is>
          <t>VÄSTERBOTTENS LÄN</t>
        </is>
      </c>
      <c r="G137" t="inlineStr">
        <is>
          <t>MALÅ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45148</v>
      </c>
      <c r="E138" s="1" t="n">
        <v>46311</v>
      </c>
      <c r="F138" t="inlineStr">
        <is>
          <t>VÄSTERBOTTENS LÄN</t>
        </is>
      </c>
      <c r="G138" t="inlineStr">
        <is>
          <t>MALÅ</t>
        </is>
      </c>
      <c r="I138" t="n">
        <v>16.2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45000</v>
      </c>
      <c r="E139" s="1" t="n">
        <v>46311</v>
      </c>
      <c r="F139" t="inlineStr">
        <is>
          <t>VÄSTERBOTTENS LÄN</t>
        </is>
      </c>
      <c r="G139" t="inlineStr">
        <is>
          <t>MALÅ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45195</v>
      </c>
      <c r="E140" s="1" t="n">
        <v>46311</v>
      </c>
      <c r="F140" t="inlineStr">
        <is>
          <t>VÄSTERBOTTENS LÄN</t>
        </is>
      </c>
      <c r="G140" t="inlineStr">
        <is>
          <t>MALÅ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48353-2023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45201</v>
      </c>
      <c r="E141" s="1" t="n">
        <v>46311</v>
      </c>
      <c r="F141" t="inlineStr">
        <is>
          <t>VÄSTERBOTTENS LÄN</t>
        </is>
      </c>
      <c r="G141" t="inlineStr">
        <is>
          <t>MALÅ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46311</v>
      </c>
      <c r="F142" t="inlineStr">
        <is>
          <t>VÄSTERBOTTENS LÄN</t>
        </is>
      </c>
      <c r="G142" t="inlineStr">
        <is>
          <t>MALÅ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48348-2023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46311</v>
      </c>
      <c r="F143" t="inlineStr">
        <is>
          <t>VÄSTERBOTTENS LÄN</t>
        </is>
      </c>
      <c r="G143" t="inlineStr">
        <is>
          <t>MALÅ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46311</v>
      </c>
      <c r="F144" t="inlineStr">
        <is>
          <t>VÄSTERBOTTENS LÄN</t>
        </is>
      </c>
      <c r="G144" t="inlineStr">
        <is>
          <t>MALÅ</t>
        </is>
      </c>
      <c r="I144" t="n">
        <v>15.7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45153</v>
      </c>
      <c r="E145" s="1" t="n">
        <v>46311</v>
      </c>
      <c r="F145" t="inlineStr">
        <is>
          <t>VÄSTERBOTTENS LÄN</t>
        </is>
      </c>
      <c r="G145" t="inlineStr">
        <is>
          <t>MALÅ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46311</v>
      </c>
      <c r="F146" t="inlineStr">
        <is>
          <t>VÄSTERBOTTENS LÄN</t>
        </is>
      </c>
      <c r="G146" t="inlineStr">
        <is>
          <t>MALÅ</t>
        </is>
      </c>
      <c r="H146" t="inlineStr">
        <is>
          <t>SCA</t>
        </is>
      </c>
      <c r="I146" t="n">
        <v>10.2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45178</v>
      </c>
      <c r="E147" s="1" t="n">
        <v>46311</v>
      </c>
      <c r="F147" t="inlineStr">
        <is>
          <t>VÄSTERBOTTENS LÄN</t>
        </is>
      </c>
      <c r="G147" t="inlineStr">
        <is>
          <t>MALÅ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32767-2024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45516</v>
      </c>
      <c r="E148" s="1" t="n">
        <v>46311</v>
      </c>
      <c r="F148" t="inlineStr">
        <is>
          <t>VÄSTERBOTTENS LÄN</t>
        </is>
      </c>
      <c r="G148" t="inlineStr">
        <is>
          <t>MALÅ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46311</v>
      </c>
      <c r="F149" t="inlineStr">
        <is>
          <t>VÄSTERBOTTENS LÄN</t>
        </is>
      </c>
      <c r="G149" t="inlineStr">
        <is>
          <t>MALÅ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46311</v>
      </c>
      <c r="F150" t="inlineStr">
        <is>
          <t>VÄSTERBOTTENS LÄN</t>
        </is>
      </c>
      <c r="G150" t="inlineStr">
        <is>
          <t>MALÅ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45002</v>
      </c>
      <c r="E151" s="1" t="n">
        <v>46311</v>
      </c>
      <c r="F151" t="inlineStr">
        <is>
          <t>VÄSTERBOTTENS LÄN</t>
        </is>
      </c>
      <c r="G151" t="inlineStr">
        <is>
          <t>MALÅ</t>
        </is>
      </c>
      <c r="H151" t="inlineStr">
        <is>
          <t>SCA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45223</v>
      </c>
      <c r="E152" s="1" t="n">
        <v>46311</v>
      </c>
      <c r="F152" t="inlineStr">
        <is>
          <t>VÄSTERBOTTENS LÄN</t>
        </is>
      </c>
      <c r="G152" t="inlineStr">
        <is>
          <t>MALÅ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46311</v>
      </c>
      <c r="F153" t="inlineStr">
        <is>
          <t>VÄSTERBOTTENS LÄN</t>
        </is>
      </c>
      <c r="G153" t="inlineStr">
        <is>
          <t>MALÅ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45184</v>
      </c>
      <c r="E154" s="1" t="n">
        <v>46311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46311</v>
      </c>
      <c r="F155" t="inlineStr">
        <is>
          <t>VÄSTERBOTTENS LÄN</t>
        </is>
      </c>
      <c r="G155" t="inlineStr">
        <is>
          <t>MALÅ</t>
        </is>
      </c>
      <c r="I155" t="n">
        <v>10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39304-2023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45166</v>
      </c>
      <c r="E156" s="1" t="n">
        <v>46311</v>
      </c>
      <c r="F156" t="inlineStr">
        <is>
          <t>VÄSTERBOTTENS LÄN</t>
        </is>
      </c>
      <c r="G156" t="inlineStr">
        <is>
          <t>MALÅ</t>
        </is>
      </c>
      <c r="H156" t="inlineStr">
        <is>
          <t>Kyrkan</t>
        </is>
      </c>
      <c r="I156" t="n">
        <v>27.3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46311</v>
      </c>
      <c r="F157" t="inlineStr">
        <is>
          <t>VÄSTERBOTTENS LÄN</t>
        </is>
      </c>
      <c r="G157" t="inlineStr">
        <is>
          <t>MALÅ</t>
        </is>
      </c>
      <c r="H157" t="inlineStr">
        <is>
          <t>Kyrkan</t>
        </is>
      </c>
      <c r="I157" t="n">
        <v>84.5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46311</v>
      </c>
      <c r="F158" t="inlineStr">
        <is>
          <t>VÄSTERBOTTENS LÄN</t>
        </is>
      </c>
      <c r="G158" t="inlineStr">
        <is>
          <t>MALÅ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45625</v>
      </c>
      <c r="E159" s="1" t="n">
        <v>46311</v>
      </c>
      <c r="F159" t="inlineStr">
        <is>
          <t>VÄSTERBOTTENS LÄN</t>
        </is>
      </c>
      <c r="G159" t="inlineStr">
        <is>
          <t>MALÅ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45225</v>
      </c>
      <c r="E160" s="1" t="n">
        <v>46311</v>
      </c>
      <c r="F160" t="inlineStr">
        <is>
          <t>VÄSTERBOTTENS LÄN</t>
        </is>
      </c>
      <c r="G160" t="inlineStr">
        <is>
          <t>MALÅ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46311</v>
      </c>
      <c r="F161" t="inlineStr">
        <is>
          <t>VÄSTERBOTTENS LÄN</t>
        </is>
      </c>
      <c r="G161" t="inlineStr">
        <is>
          <t>MALÅ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45174</v>
      </c>
      <c r="E162" s="1" t="n">
        <v>46311</v>
      </c>
      <c r="F162" t="inlineStr">
        <is>
          <t>VÄSTERBOTTENS LÄN</t>
        </is>
      </c>
      <c r="G162" t="inlineStr">
        <is>
          <t>MALÅ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60591-2024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46311</v>
      </c>
      <c r="F163" t="inlineStr">
        <is>
          <t>VÄSTERBOTTENS LÄN</t>
        </is>
      </c>
      <c r="G163" t="inlineStr">
        <is>
          <t>MALÅ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46311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36124-2023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45149</v>
      </c>
      <c r="E165" s="1" t="n">
        <v>46311</v>
      </c>
      <c r="F165" t="inlineStr">
        <is>
          <t>VÄSTERBOTTENS LÄN</t>
        </is>
      </c>
      <c r="G165" t="inlineStr">
        <is>
          <t>MALÅ</t>
        </is>
      </c>
      <c r="I165" t="n">
        <v>26.9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45203</v>
      </c>
      <c r="E166" s="1" t="n">
        <v>46311</v>
      </c>
      <c r="F166" t="inlineStr">
        <is>
          <t>VÄSTERBOTTENS LÄN</t>
        </is>
      </c>
      <c r="G166" t="inlineStr">
        <is>
          <t>MALÅ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36144-2023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45149</v>
      </c>
      <c r="E167" s="1" t="n">
        <v>46311</v>
      </c>
      <c r="F167" t="inlineStr">
        <is>
          <t>VÄSTERBOTTENS LÄN</t>
        </is>
      </c>
      <c r="G167" t="inlineStr">
        <is>
          <t>MALÅ</t>
        </is>
      </c>
      <c r="I167" t="n">
        <v>147.1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46311</v>
      </c>
      <c r="F168" t="inlineStr">
        <is>
          <t>VÄSTERBOTTENS LÄN</t>
        </is>
      </c>
      <c r="G168" t="inlineStr">
        <is>
          <t>MALÅ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46311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53256-2023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46311</v>
      </c>
      <c r="F170" t="inlineStr">
        <is>
          <t>VÄSTERBOTTENS LÄN</t>
        </is>
      </c>
      <c r="G170" t="inlineStr">
        <is>
          <t>MALÅ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46311</v>
      </c>
      <c r="F171" t="inlineStr">
        <is>
          <t>VÄSTERBOTTENS LÄN</t>
        </is>
      </c>
      <c r="G171" t="inlineStr">
        <is>
          <t>MALÅ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45022</v>
      </c>
      <c r="E172" s="1" t="n">
        <v>46311</v>
      </c>
      <c r="F172" t="inlineStr">
        <is>
          <t>VÄSTERBOTTENS LÄN</t>
        </is>
      </c>
      <c r="G172" t="inlineStr">
        <is>
          <t>MALÅ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45022</v>
      </c>
      <c r="E173" s="1" t="n">
        <v>46311</v>
      </c>
      <c r="F173" t="inlineStr">
        <is>
          <t>VÄSTERBOTTENS LÄN</t>
        </is>
      </c>
      <c r="G173" t="inlineStr">
        <is>
          <t>MALÅ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46311</v>
      </c>
      <c r="F174" t="inlineStr">
        <is>
          <t>VÄSTERBOTTENS LÄN</t>
        </is>
      </c>
      <c r="G174" t="inlineStr">
        <is>
          <t>MALÅ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45741</v>
      </c>
      <c r="E175" s="1" t="n">
        <v>46311</v>
      </c>
      <c r="F175" t="inlineStr">
        <is>
          <t>VÄSTERBOTTENS LÄN</t>
        </is>
      </c>
      <c r="G175" t="inlineStr">
        <is>
          <t>MALÅ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9947-2025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45719</v>
      </c>
      <c r="E176" s="1" t="n">
        <v>46311</v>
      </c>
      <c r="F176" t="inlineStr">
        <is>
          <t>VÄSTERBOTTENS LÄN</t>
        </is>
      </c>
      <c r="G176" t="inlineStr">
        <is>
          <t>MALÅ</t>
        </is>
      </c>
      <c r="I176" t="n">
        <v>9.300000000000001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45160</v>
      </c>
      <c r="E177" s="1" t="n">
        <v>46311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21.8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45193</v>
      </c>
      <c r="E178" s="1" t="n">
        <v>46311</v>
      </c>
      <c r="F178" t="inlineStr">
        <is>
          <t>VÄSTERBOTTENS LÄN</t>
        </is>
      </c>
      <c r="G178" t="inlineStr">
        <is>
          <t>MALÅ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62284-2023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45267</v>
      </c>
      <c r="E179" s="1" t="n">
        <v>46311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46311</v>
      </c>
      <c r="F180" t="inlineStr">
        <is>
          <t>VÄSTERBOTTENS LÄN</t>
        </is>
      </c>
      <c r="G180" t="inlineStr">
        <is>
          <t>MALÅ</t>
        </is>
      </c>
      <c r="H180" t="inlineStr">
        <is>
          <t>SCA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45369</v>
      </c>
      <c r="E181" s="1" t="n">
        <v>46311</v>
      </c>
      <c r="F181" t="inlineStr">
        <is>
          <t>VÄSTERBOTTENS LÄN</t>
        </is>
      </c>
      <c r="G181" t="inlineStr">
        <is>
          <t>MALÅ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45190</v>
      </c>
      <c r="E182" s="1" t="n">
        <v>46311</v>
      </c>
      <c r="F182" t="inlineStr">
        <is>
          <t>VÄSTERBOTTENS LÄN</t>
        </is>
      </c>
      <c r="G182" t="inlineStr">
        <is>
          <t>MALÅ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45694</v>
      </c>
      <c r="E183" s="1" t="n">
        <v>46311</v>
      </c>
      <c r="F183" t="inlineStr">
        <is>
          <t>VÄSTERBOTTENS LÄN</t>
        </is>
      </c>
      <c r="G183" t="inlineStr">
        <is>
          <t>MALÅ</t>
        </is>
      </c>
      <c r="H183" t="inlineStr">
        <is>
          <t>SCA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41672-2025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45902</v>
      </c>
      <c r="E184" s="1" t="n">
        <v>46311</v>
      </c>
      <c r="F184" t="inlineStr">
        <is>
          <t>VÄSTERBOTTENS LÄN</t>
        </is>
      </c>
      <c r="G184" t="inlineStr">
        <is>
          <t>MALÅ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44575</v>
      </c>
      <c r="E185" s="1" t="n">
        <v>46311</v>
      </c>
      <c r="F185" t="inlineStr">
        <is>
          <t>VÄSTERBOTTENS LÄN</t>
        </is>
      </c>
      <c r="G185" t="inlineStr">
        <is>
          <t>MALÅ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46311</v>
      </c>
      <c r="F186" t="inlineStr">
        <is>
          <t>VÄSTERBOTTENS LÄN</t>
        </is>
      </c>
      <c r="G186" t="inlineStr">
        <is>
          <t>MALÅ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46311</v>
      </c>
      <c r="F187" t="inlineStr">
        <is>
          <t>VÄSTERBOTTENS LÄN</t>
        </is>
      </c>
      <c r="G187" t="inlineStr">
        <is>
          <t>MALÅ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45167</v>
      </c>
      <c r="E188" s="1" t="n">
        <v>46311</v>
      </c>
      <c r="F188" t="inlineStr">
        <is>
          <t>VÄSTERBOTTENS LÄN</t>
        </is>
      </c>
      <c r="G188" t="inlineStr">
        <is>
          <t>MALÅ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45159</v>
      </c>
      <c r="E189" s="1" t="n">
        <v>46311</v>
      </c>
      <c r="F189" t="inlineStr">
        <is>
          <t>VÄSTERBOTTENS LÄN</t>
        </is>
      </c>
      <c r="G189" t="inlineStr">
        <is>
          <t>MALÅ</t>
        </is>
      </c>
      <c r="I189" t="n">
        <v>9.699999999999999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45520</v>
      </c>
      <c r="E190" s="1" t="n">
        <v>46311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46311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45229</v>
      </c>
      <c r="E192" s="1" t="n">
        <v>46311</v>
      </c>
      <c r="F192" t="inlineStr">
        <is>
          <t>VÄSTERBOTTENS LÄN</t>
        </is>
      </c>
      <c r="G192" t="inlineStr">
        <is>
          <t>MALÅ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48034-2025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45932</v>
      </c>
      <c r="E193" s="1" t="n">
        <v>46311</v>
      </c>
      <c r="F193" t="inlineStr">
        <is>
          <t>VÄSTERBOTTENS LÄN</t>
        </is>
      </c>
      <c r="G193" t="inlineStr">
        <is>
          <t>MALÅ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45932</v>
      </c>
      <c r="E194" s="1" t="n">
        <v>46311</v>
      </c>
      <c r="F194" t="inlineStr">
        <is>
          <t>VÄSTERBOTTENS LÄN</t>
        </is>
      </c>
      <c r="G194" t="inlineStr">
        <is>
          <t>MALÅ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46311</v>
      </c>
      <c r="F195" t="inlineStr">
        <is>
          <t>VÄSTERBOTTENS LÄN</t>
        </is>
      </c>
      <c r="G195" t="inlineStr">
        <is>
          <t>MALÅ</t>
        </is>
      </c>
      <c r="I195" t="n">
        <v>13.3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46311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48994-2025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46311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46311</v>
      </c>
      <c r="F198" t="inlineStr">
        <is>
          <t>VÄSTERBOTTENS LÄN</t>
        </is>
      </c>
      <c r="G198" t="inlineStr">
        <is>
          <t>MALÅ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39153-2023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46311</v>
      </c>
      <c r="F199" t="inlineStr">
        <is>
          <t>VÄSTERBOTTENS LÄN</t>
        </is>
      </c>
      <c r="G199" t="inlineStr">
        <is>
          <t>MALÅ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68036-2021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46311</v>
      </c>
      <c r="F200" t="inlineStr">
        <is>
          <t>VÄSTERBOTTENS LÄN</t>
        </is>
      </c>
      <c r="G200" t="inlineStr">
        <is>
          <t>MALÅ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49207-2025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46311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46311</v>
      </c>
      <c r="F202" t="inlineStr">
        <is>
          <t>VÄSTERBOTTENS LÄN</t>
        </is>
      </c>
      <c r="G202" t="inlineStr">
        <is>
          <t>MALÅ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46311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46311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46311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45158</v>
      </c>
      <c r="E206" s="1" t="n">
        <v>46311</v>
      </c>
      <c r="F206" t="inlineStr">
        <is>
          <t>VÄSTERBOTTENS LÄN</t>
        </is>
      </c>
      <c r="G206" t="inlineStr">
        <is>
          <t>MALÅ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45154</v>
      </c>
      <c r="E207" s="1" t="n">
        <v>46311</v>
      </c>
      <c r="F207" t="inlineStr">
        <is>
          <t>VÄSTERBOTTENS LÄN</t>
        </is>
      </c>
      <c r="G207" t="inlineStr">
        <is>
          <t>MALÅ</t>
        </is>
      </c>
      <c r="I207" t="n">
        <v>41.2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46189</v>
      </c>
      <c r="E208" s="1" t="n">
        <v>46311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9.9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46189</v>
      </c>
      <c r="E209" s="1" t="n">
        <v>46311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46189</v>
      </c>
      <c r="E210" s="1" t="n">
        <v>46311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46311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46311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11.7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46189</v>
      </c>
      <c r="E213" s="1" t="n">
        <v>46311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46311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46189</v>
      </c>
      <c r="E215" s="1" t="n">
        <v>46311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23.5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44641</v>
      </c>
      <c r="E216" s="1" t="n">
        <v>46311</v>
      </c>
      <c r="F216" t="inlineStr">
        <is>
          <t>VÄSTERBOTTENS LÄN</t>
        </is>
      </c>
      <c r="G216" t="inlineStr">
        <is>
          <t>MALÅ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46311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16.7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46196</v>
      </c>
      <c r="E218" s="1" t="n">
        <v>46311</v>
      </c>
      <c r="F218" t="inlineStr">
        <is>
          <t>VÄSTERBOTTENS LÄN</t>
        </is>
      </c>
      <c r="G218" t="inlineStr">
        <is>
          <t>MALÅ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29025-2026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46311</v>
      </c>
      <c r="F219" t="inlineStr">
        <is>
          <t>VÄSTERBOTTENS LÄN</t>
        </is>
      </c>
      <c r="G219" t="inlineStr">
        <is>
          <t>MALÅ</t>
        </is>
      </c>
      <c r="I219" t="n">
        <v>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45170</v>
      </c>
      <c r="E220" s="1" t="n">
        <v>46311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23.4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45736</v>
      </c>
      <c r="E221" s="1" t="n">
        <v>46311</v>
      </c>
      <c r="F221" t="inlineStr">
        <is>
          <t>VÄSTERBOTTENS LÄN</t>
        </is>
      </c>
      <c r="G221" t="inlineStr">
        <is>
          <t>MALÅ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28803-2026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46311</v>
      </c>
      <c r="F222" t="inlineStr">
        <is>
          <t>VÄSTERBOTTENS LÄN</t>
        </is>
      </c>
      <c r="G222" t="inlineStr">
        <is>
          <t>MALÅ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40822-2023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45171</v>
      </c>
      <c r="E223" s="1" t="n">
        <v>46311</v>
      </c>
      <c r="F223" t="inlineStr">
        <is>
          <t>VÄSTERBOTTENS LÄN</t>
        </is>
      </c>
      <c r="G223" t="inlineStr">
        <is>
          <t>MALÅ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44626-2023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45184</v>
      </c>
      <c r="E224" s="1" t="n">
        <v>46311</v>
      </c>
      <c r="F224" t="inlineStr">
        <is>
          <t>VÄSTERBOTTENS LÄN</t>
        </is>
      </c>
      <c r="G224" t="inlineStr">
        <is>
          <t>MALÅ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45168</v>
      </c>
      <c r="E225" s="1" t="n">
        <v>46311</v>
      </c>
      <c r="F225" t="inlineStr">
        <is>
          <t>VÄSTERBOTTENS LÄN</t>
        </is>
      </c>
      <c r="G225" t="inlineStr">
        <is>
          <t>MALÅ</t>
        </is>
      </c>
      <c r="I225" t="n">
        <v>27.9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45807-2023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45189</v>
      </c>
      <c r="E226" s="1" t="n">
        <v>46311</v>
      </c>
      <c r="F226" t="inlineStr">
        <is>
          <t>VÄSTERBOTTENS LÄN</t>
        </is>
      </c>
      <c r="G226" t="inlineStr">
        <is>
          <t>MALÅ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45660</v>
      </c>
      <c r="E227" s="1" t="n">
        <v>46311</v>
      </c>
      <c r="F227" t="inlineStr">
        <is>
          <t>VÄSTERBOTTENS LÄN</t>
        </is>
      </c>
      <c r="G227" t="inlineStr">
        <is>
          <t>MALÅ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45236</v>
      </c>
      <c r="E228" s="1" t="n">
        <v>46311</v>
      </c>
      <c r="F228" t="inlineStr">
        <is>
          <t>VÄSTERBOTTENS LÄN</t>
        </is>
      </c>
      <c r="G228" t="inlineStr">
        <is>
          <t>MALÅ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45726</v>
      </c>
      <c r="E229" s="1" t="n">
        <v>46311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46311</v>
      </c>
      <c r="F230" t="inlineStr">
        <is>
          <t>VÄSTERBOTTENS LÄN</t>
        </is>
      </c>
      <c r="G230" t="inlineStr">
        <is>
          <t>MALÅ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49840-2023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46311</v>
      </c>
      <c r="F231" t="inlineStr">
        <is>
          <t>VÄSTERBOTTENS LÄN</t>
        </is>
      </c>
      <c r="G231" t="inlineStr">
        <is>
          <t>MALÅ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46311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46311</v>
      </c>
      <c r="F233" t="inlineStr">
        <is>
          <t>VÄSTERBOTTENS LÄN</t>
        </is>
      </c>
      <c r="G233" t="inlineStr">
        <is>
          <t>MALÅ</t>
        </is>
      </c>
      <c r="I233" t="n">
        <v>18.6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46311</v>
      </c>
      <c r="F234" t="inlineStr">
        <is>
          <t>VÄSTERBOTTENS LÄN</t>
        </is>
      </c>
      <c r="G234" t="inlineStr">
        <is>
          <t>MALÅ</t>
        </is>
      </c>
      <c r="I234" t="n">
        <v>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46311</v>
      </c>
      <c r="F235" t="inlineStr">
        <is>
          <t>VÄSTERBOTTENS LÄN</t>
        </is>
      </c>
      <c r="G235" t="inlineStr">
        <is>
          <t>MALÅ</t>
        </is>
      </c>
      <c r="H235" t="inlineStr">
        <is>
          <t>SCA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51963-2025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46311</v>
      </c>
      <c r="F236" t="inlineStr">
        <is>
          <t>VÄSTERBOTTENS LÄN</t>
        </is>
      </c>
      <c r="G236" t="inlineStr">
        <is>
          <t>MALÅ</t>
        </is>
      </c>
      <c r="H236" t="inlineStr">
        <is>
          <t>SCA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30502-2026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46210</v>
      </c>
      <c r="E237" s="1" t="n">
        <v>46311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46311</v>
      </c>
      <c r="F238" t="inlineStr">
        <is>
          <t>VÄSTERBOTTENS LÄN</t>
        </is>
      </c>
      <c r="G238" t="inlineStr">
        <is>
          <t>MALÅ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51950-2025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45952</v>
      </c>
      <c r="E239" s="1" t="n">
        <v>46311</v>
      </c>
      <c r="F239" t="inlineStr">
        <is>
          <t>VÄSTERBOTTENS LÄN</t>
        </is>
      </c>
      <c r="G239" t="inlineStr">
        <is>
          <t>MALÅ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45154</v>
      </c>
      <c r="E240" s="1" t="n">
        <v>46311</v>
      </c>
      <c r="F240" t="inlineStr">
        <is>
          <t>VÄSTERBOTTENS LÄN</t>
        </is>
      </c>
      <c r="G240" t="inlineStr">
        <is>
          <t>MALÅ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44426-2023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45188</v>
      </c>
      <c r="E241" s="1" t="n">
        <v>46311</v>
      </c>
      <c r="F241" t="inlineStr">
        <is>
          <t>VÄSTERBOTTENS LÄN</t>
        </is>
      </c>
      <c r="G241" t="inlineStr">
        <is>
          <t>MALÅ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41792-2023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45176</v>
      </c>
      <c r="E242" s="1" t="n">
        <v>46311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46311</v>
      </c>
      <c r="F243" t="inlineStr">
        <is>
          <t>VÄSTERBOTTENS LÄN</t>
        </is>
      </c>
      <c r="G243" t="inlineStr">
        <is>
          <t>MALÅ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59561-2024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45638</v>
      </c>
      <c r="E244" s="1" t="n">
        <v>46311</v>
      </c>
      <c r="F244" t="inlineStr">
        <is>
          <t>VÄSTERBOTTENS LÄN</t>
        </is>
      </c>
      <c r="G244" t="inlineStr">
        <is>
          <t>MALÅ</t>
        </is>
      </c>
      <c r="I244" t="n">
        <v>11.4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45719</v>
      </c>
      <c r="E245" s="1" t="n">
        <v>46311</v>
      </c>
      <c r="F245" t="inlineStr">
        <is>
          <t>VÄSTERBOTTENS LÄN</t>
        </is>
      </c>
      <c r="G245" t="inlineStr">
        <is>
          <t>MALÅ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67679-2021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44524</v>
      </c>
      <c r="E246" s="1" t="n">
        <v>46311</v>
      </c>
      <c r="F246" t="inlineStr">
        <is>
          <t>VÄSTERBOTTENS LÄN</t>
        </is>
      </c>
      <c r="G246" t="inlineStr">
        <is>
          <t>MALÅ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46223</v>
      </c>
      <c r="E247" s="1" t="n">
        <v>46311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31535-2026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46223</v>
      </c>
      <c r="E248" s="1" t="n">
        <v>46311</v>
      </c>
      <c r="F248" t="inlineStr">
        <is>
          <t>VÄSTERBOTTENS LÄN</t>
        </is>
      </c>
      <c r="G248" t="inlineStr">
        <is>
          <t>MALÅ</t>
        </is>
      </c>
      <c r="H248" t="inlineStr">
        <is>
          <t>SCA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46311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46311</v>
      </c>
      <c r="F250" t="inlineStr">
        <is>
          <t>VÄSTERBOTTENS LÄN</t>
        </is>
      </c>
      <c r="G250" t="inlineStr">
        <is>
          <t>MALÅ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26853-2026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46185</v>
      </c>
      <c r="E251" s="1" t="n">
        <v>46311</v>
      </c>
      <c r="F251" t="inlineStr">
        <is>
          <t>VÄSTERBOTTENS LÄN</t>
        </is>
      </c>
      <c r="G251" t="inlineStr">
        <is>
          <t>MALÅ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45625</v>
      </c>
      <c r="E252" s="1" t="n">
        <v>46311</v>
      </c>
      <c r="F252" t="inlineStr">
        <is>
          <t>VÄSTERBOTTENS LÄN</t>
        </is>
      </c>
      <c r="G252" t="inlineStr">
        <is>
          <t>MALÅ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49011-2023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46311</v>
      </c>
      <c r="F253" t="inlineStr">
        <is>
          <t>VÄSTERBOTTENS LÄN</t>
        </is>
      </c>
      <c r="G253" t="inlineStr">
        <is>
          <t>MALÅ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46311</v>
      </c>
      <c r="F254" t="inlineStr">
        <is>
          <t>VÄSTERBOTTENS LÄN</t>
        </is>
      </c>
      <c r="G254" t="inlineStr">
        <is>
          <t>MALÅ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46311</v>
      </c>
      <c r="F255" t="inlineStr">
        <is>
          <t>VÄSTERBOTTENS LÄN</t>
        </is>
      </c>
      <c r="G255" t="inlineStr">
        <is>
          <t>MALÅ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54742-2025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46311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60624-2024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46311</v>
      </c>
      <c r="F257" t="inlineStr">
        <is>
          <t>VÄSTERBOTTENS LÄN</t>
        </is>
      </c>
      <c r="G257" t="inlineStr">
        <is>
          <t>MALÅ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45667</v>
      </c>
      <c r="E258" s="1" t="n">
        <v>46311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46311</v>
      </c>
      <c r="F259" t="inlineStr">
        <is>
          <t>VÄSTERBOTTENS LÄN</t>
        </is>
      </c>
      <c r="G259" t="inlineStr">
        <is>
          <t>MALÅ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45595</v>
      </c>
      <c r="E260" s="1" t="n">
        <v>46311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46311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46311</v>
      </c>
      <c r="F262" t="inlineStr">
        <is>
          <t>VÄSTERBOTTENS LÄN</t>
        </is>
      </c>
      <c r="G262" t="inlineStr">
        <is>
          <t>MALÅ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46311</v>
      </c>
      <c r="F263" t="inlineStr">
        <is>
          <t>VÄSTERBOTTENS LÄN</t>
        </is>
      </c>
      <c r="G263" t="inlineStr">
        <is>
          <t>MALÅ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45233</v>
      </c>
      <c r="E264" s="1" t="n">
        <v>46311</v>
      </c>
      <c r="F264" t="inlineStr">
        <is>
          <t>VÄSTERBOTTENS LÄN</t>
        </is>
      </c>
      <c r="G264" t="inlineStr">
        <is>
          <t>MALÅ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45178</v>
      </c>
      <c r="E265" s="1" t="n">
        <v>46311</v>
      </c>
      <c r="F265" t="inlineStr">
        <is>
          <t>VÄSTERBOTTENS LÄN</t>
        </is>
      </c>
      <c r="G265" t="inlineStr">
        <is>
          <t>MALÅ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37631-2026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46276</v>
      </c>
      <c r="E266" s="1" t="n">
        <v>46311</v>
      </c>
      <c r="F266" t="inlineStr">
        <is>
          <t>VÄSTERBOTTENS LÄN</t>
        </is>
      </c>
      <c r="G266" t="inlineStr">
        <is>
          <t>MALÅ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46276</v>
      </c>
      <c r="E267" s="1" t="n">
        <v>46311</v>
      </c>
      <c r="F267" t="inlineStr">
        <is>
          <t>VÄSTERBOTTENS LÄN</t>
        </is>
      </c>
      <c r="G267" t="inlineStr">
        <is>
          <t>MALÅ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46232</v>
      </c>
      <c r="E268" s="1" t="n">
        <v>46311</v>
      </c>
      <c r="F268" t="inlineStr">
        <is>
          <t>VÄSTERBOTTENS LÄN</t>
        </is>
      </c>
      <c r="G268" t="inlineStr">
        <is>
          <t>MALÅ</t>
        </is>
      </c>
      <c r="H268" t="inlineStr">
        <is>
          <t>SCA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37867-2026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46279</v>
      </c>
      <c r="E269" s="1" t="n">
        <v>46311</v>
      </c>
      <c r="F269" t="inlineStr">
        <is>
          <t>VÄSTERBOTTENS LÄN</t>
        </is>
      </c>
      <c r="G269" t="inlineStr">
        <is>
          <t>MALÅ</t>
        </is>
      </c>
      <c r="H269" t="inlineStr">
        <is>
          <t>SCA</t>
        </is>
      </c>
      <c r="I269" t="n">
        <v>10.5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45203</v>
      </c>
      <c r="E270" s="1" t="n">
        <v>46311</v>
      </c>
      <c r="F270" t="inlineStr">
        <is>
          <t>VÄSTERBOTTENS LÄN</t>
        </is>
      </c>
      <c r="G270" t="inlineStr">
        <is>
          <t>MALÅ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54463-2025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45964</v>
      </c>
      <c r="E271" s="1" t="n">
        <v>46311</v>
      </c>
      <c r="F271" t="inlineStr">
        <is>
          <t>VÄSTERBOTTENS LÄN</t>
        </is>
      </c>
      <c r="G271" t="inlineStr">
        <is>
          <t>MALÅ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45210</v>
      </c>
      <c r="E272" s="1" t="n">
        <v>46311</v>
      </c>
      <c r="F272" t="inlineStr">
        <is>
          <t>VÄSTERBOTTENS LÄN</t>
        </is>
      </c>
      <c r="G272" t="inlineStr">
        <is>
          <t>MALÅ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54455-2025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45964</v>
      </c>
      <c r="E273" s="1" t="n">
        <v>46311</v>
      </c>
      <c r="F273" t="inlineStr">
        <is>
          <t>VÄSTERBOTTENS LÄN</t>
        </is>
      </c>
      <c r="G273" t="inlineStr">
        <is>
          <t>MALÅ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55507-2024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46311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53068-2023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45227</v>
      </c>
      <c r="E275" s="1" t="n">
        <v>46311</v>
      </c>
      <c r="F275" t="inlineStr">
        <is>
          <t>VÄSTERBOTTENS LÄN</t>
        </is>
      </c>
      <c r="G275" t="inlineStr">
        <is>
          <t>MALÅ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56102-2025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45973</v>
      </c>
      <c r="E276" s="1" t="n">
        <v>46311</v>
      </c>
      <c r="F276" t="inlineStr">
        <is>
          <t>VÄSTERBOTTENS LÄN</t>
        </is>
      </c>
      <c r="G276" t="inlineStr">
        <is>
          <t>MALÅ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41126-2023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45173</v>
      </c>
      <c r="E277" s="1" t="n">
        <v>46311</v>
      </c>
      <c r="F277" t="inlineStr">
        <is>
          <t>VÄSTERBOTTENS LÄN</t>
        </is>
      </c>
      <c r="G277" t="inlineStr">
        <is>
          <t>MALÅ</t>
        </is>
      </c>
      <c r="I277" t="n">
        <v>8.5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51383-2023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46311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51573-2023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45222</v>
      </c>
      <c r="E279" s="1" t="n">
        <v>46311</v>
      </c>
      <c r="F279" t="inlineStr">
        <is>
          <t>VÄSTERBOTTENS LÄN</t>
        </is>
      </c>
      <c r="G279" t="inlineStr">
        <is>
          <t>MALÅ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60577-2022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44911</v>
      </c>
      <c r="E280" s="1" t="n">
        <v>46311</v>
      </c>
      <c r="F280" t="inlineStr">
        <is>
          <t>VÄSTERBOTTENS LÄN</t>
        </is>
      </c>
      <c r="G280" t="inlineStr">
        <is>
          <t>MALÅ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45111</v>
      </c>
      <c r="E281" s="1" t="n">
        <v>46311</v>
      </c>
      <c r="F281" t="inlineStr">
        <is>
          <t>VÄSTERBOTTENS LÄN</t>
        </is>
      </c>
      <c r="G281" t="inlineStr">
        <is>
          <t>MALÅ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35712-2026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46265</v>
      </c>
      <c r="E282" s="1" t="n">
        <v>46311</v>
      </c>
      <c r="F282" t="inlineStr">
        <is>
          <t>VÄSTERBOTTENS LÄN</t>
        </is>
      </c>
      <c r="G282" t="inlineStr">
        <is>
          <t>MALÅ</t>
        </is>
      </c>
      <c r="H282" t="inlineStr">
        <is>
          <t>SCA</t>
        </is>
      </c>
      <c r="I282" t="n">
        <v>11.5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45175</v>
      </c>
      <c r="E283" s="1" t="n">
        <v>46311</v>
      </c>
      <c r="F283" t="inlineStr">
        <is>
          <t>VÄSTERBOTTENS LÄN</t>
        </is>
      </c>
      <c r="G283" t="inlineStr">
        <is>
          <t>MALÅ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46289</v>
      </c>
      <c r="E284" s="1" t="n">
        <v>46311</v>
      </c>
      <c r="F284" t="inlineStr">
        <is>
          <t>VÄSTERBOTTENS LÄN</t>
        </is>
      </c>
      <c r="G284" t="inlineStr">
        <is>
          <t>MALÅ</t>
        </is>
      </c>
      <c r="H284" t="inlineStr">
        <is>
          <t>SCA</t>
        </is>
      </c>
      <c r="I284" t="n">
        <v>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39644-2026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46311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46311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8.199999999999999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46311</v>
      </c>
      <c r="F287" t="inlineStr">
        <is>
          <t>VÄSTERBOTTENS LÄN</t>
        </is>
      </c>
      <c r="G287" t="inlineStr">
        <is>
          <t>MALÅ</t>
        </is>
      </c>
      <c r="I287" t="n">
        <v>19.2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46289</v>
      </c>
      <c r="E288" s="1" t="n">
        <v>46311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46248</v>
      </c>
      <c r="E289" s="1" t="n">
        <v>46311</v>
      </c>
      <c r="F289" t="inlineStr">
        <is>
          <t>VÄSTERBOTTENS LÄN</t>
        </is>
      </c>
      <c r="G289" t="inlineStr">
        <is>
          <t>MALÅ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46246</v>
      </c>
      <c r="E290" s="1" t="n">
        <v>46311</v>
      </c>
      <c r="F290" t="inlineStr">
        <is>
          <t>VÄSTERBOTTENS LÄN</t>
        </is>
      </c>
      <c r="G290" t="inlineStr">
        <is>
          <t>MALÅ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46311</v>
      </c>
      <c r="F291" t="inlineStr">
        <is>
          <t>VÄSTERBOTTENS LÄN</t>
        </is>
      </c>
      <c r="G291" t="inlineStr">
        <is>
          <t>MALÅ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37897-2023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45159</v>
      </c>
      <c r="E292" s="1" t="n">
        <v>46311</v>
      </c>
      <c r="F292" t="inlineStr">
        <is>
          <t>VÄSTERBOTTENS LÄN</t>
        </is>
      </c>
      <c r="G292" t="inlineStr">
        <is>
          <t>MALÅ</t>
        </is>
      </c>
      <c r="I292" t="n">
        <v>30.4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39639-2026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46289</v>
      </c>
      <c r="E293" s="1" t="n">
        <v>46311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56094-2025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46311</v>
      </c>
      <c r="F294" t="inlineStr">
        <is>
          <t>VÄSTERBOTTENS LÄN</t>
        </is>
      </c>
      <c r="G294" t="inlineStr">
        <is>
          <t>MALÅ</t>
        </is>
      </c>
      <c r="I294" t="n">
        <v>20.7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46311</v>
      </c>
      <c r="F295" t="inlineStr">
        <is>
          <t>VÄSTERBOTTENS LÄN</t>
        </is>
      </c>
      <c r="G295" t="inlineStr">
        <is>
          <t>MALÅ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45636</v>
      </c>
      <c r="E296" s="1" t="n">
        <v>46311</v>
      </c>
      <c r="F296" t="inlineStr">
        <is>
          <t>VÄSTERBOTTENS LÄN</t>
        </is>
      </c>
      <c r="G296" t="inlineStr">
        <is>
          <t>MALÅ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45989</v>
      </c>
      <c r="E297" s="1" t="n">
        <v>46311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46311</v>
      </c>
      <c r="F298" t="inlineStr">
        <is>
          <t>VÄSTERBOTTENS LÄN</t>
        </is>
      </c>
      <c r="G298" t="inlineStr">
        <is>
          <t>MALÅ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45989</v>
      </c>
      <c r="E299" s="1" t="n">
        <v>46311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59448-2025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45989</v>
      </c>
      <c r="E300" s="1" t="n">
        <v>46311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45989</v>
      </c>
      <c r="E301" s="1" t="n">
        <v>46311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45989</v>
      </c>
      <c r="E302" s="1" t="n">
        <v>46311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46251</v>
      </c>
      <c r="E303" s="1" t="n">
        <v>46311</v>
      </c>
      <c r="F303" t="inlineStr">
        <is>
          <t>VÄSTERBOTTENS LÄN</t>
        </is>
      </c>
      <c r="G303" t="inlineStr">
        <is>
          <t>MALÅ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45152</v>
      </c>
      <c r="E304" s="1" t="n">
        <v>46311</v>
      </c>
      <c r="F304" t="inlineStr">
        <is>
          <t>VÄSTERBOTTENS LÄN</t>
        </is>
      </c>
      <c r="G304" t="inlineStr">
        <is>
          <t>MALÅ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46311</v>
      </c>
      <c r="F305" t="inlineStr">
        <is>
          <t>VÄSTERBOTTENS LÄN</t>
        </is>
      </c>
      <c r="G305" t="inlineStr">
        <is>
          <t>MALÅ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46311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46002</v>
      </c>
      <c r="E307" s="1" t="n">
        <v>46311</v>
      </c>
      <c r="F307" t="inlineStr">
        <is>
          <t>VÄSTERBOTTENS LÄN</t>
        </is>
      </c>
      <c r="G307" t="inlineStr">
        <is>
          <t>MALÅ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46311</v>
      </c>
      <c r="F308" t="inlineStr">
        <is>
          <t>VÄSTERBOTTENS LÄN</t>
        </is>
      </c>
      <c r="G308" t="inlineStr">
        <is>
          <t>MALÅ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46253</v>
      </c>
      <c r="E309" s="1" t="n">
        <v>46311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46311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46253</v>
      </c>
      <c r="E311" s="1" t="n">
        <v>46311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46311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45454</v>
      </c>
      <c r="E313" s="1" t="n">
        <v>46311</v>
      </c>
      <c r="F313" t="inlineStr">
        <is>
          <t>VÄSTERBOTTENS LÄN</t>
        </is>
      </c>
      <c r="G313" t="inlineStr">
        <is>
          <t>MALÅ</t>
        </is>
      </c>
      <c r="I313" t="n">
        <v>9.4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34249-2026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46311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51308-2023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45212</v>
      </c>
      <c r="E315" s="1" t="n">
        <v>46311</v>
      </c>
      <c r="F315" t="inlineStr">
        <is>
          <t>VÄSTERBOTTENS LÄN</t>
        </is>
      </c>
      <c r="G315" t="inlineStr">
        <is>
          <t>MALÅ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57499-2022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44889</v>
      </c>
      <c r="E316" s="1" t="n">
        <v>46311</v>
      </c>
      <c r="F316" t="inlineStr">
        <is>
          <t>VÄSTERBOTTENS LÄN</t>
        </is>
      </c>
      <c r="G316" t="inlineStr">
        <is>
          <t>MALÅ</t>
        </is>
      </c>
      <c r="I316" t="n">
        <v>10.2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59801-2021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44491</v>
      </c>
      <c r="E317" s="1" t="n">
        <v>46311</v>
      </c>
      <c r="F317" t="inlineStr">
        <is>
          <t>VÄSTERBOTTENS LÄN</t>
        </is>
      </c>
      <c r="G317" t="inlineStr">
        <is>
          <t>MALÅ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67383-2021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44523</v>
      </c>
      <c r="E318" s="1" t="n">
        <v>46311</v>
      </c>
      <c r="F318" t="inlineStr">
        <is>
          <t>VÄSTERBOTTENS LÄN</t>
        </is>
      </c>
      <c r="G318" t="inlineStr">
        <is>
          <t>MALÅ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45222</v>
      </c>
      <c r="E319" s="1" t="n">
        <v>46311</v>
      </c>
      <c r="F319" t="inlineStr">
        <is>
          <t>VÄSTERBOTTENS LÄN</t>
        </is>
      </c>
      <c r="G319" t="inlineStr">
        <is>
          <t>MALÅ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32979-2024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45516</v>
      </c>
      <c r="E320" s="1" t="n">
        <v>46311</v>
      </c>
      <c r="F320" t="inlineStr">
        <is>
          <t>VÄSTERBOTTENS LÄN</t>
        </is>
      </c>
      <c r="G320" t="inlineStr">
        <is>
          <t>MALÅ</t>
        </is>
      </c>
      <c r="I320" t="n">
        <v>15.5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45789-2023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46311</v>
      </c>
      <c r="F321" t="inlineStr">
        <is>
          <t>VÄSTERBOTTENS LÄN</t>
        </is>
      </c>
      <c r="G321" t="inlineStr">
        <is>
          <t>MALÅ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58894-2025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45987</v>
      </c>
      <c r="E322" s="1" t="n">
        <v>46311</v>
      </c>
      <c r="F322" t="inlineStr">
        <is>
          <t>VÄSTERBOTTENS LÄN</t>
        </is>
      </c>
      <c r="G322" t="inlineStr">
        <is>
          <t>MALÅ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46989-2023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46311</v>
      </c>
      <c r="F323" t="inlineStr">
        <is>
          <t>VÄSTERBOTTENS LÄN</t>
        </is>
      </c>
      <c r="G323" t="inlineStr">
        <is>
          <t>MALÅ</t>
        </is>
      </c>
      <c r="I323" t="n">
        <v>22.9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46311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33240-2026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46246</v>
      </c>
      <c r="E325" s="1" t="n">
        <v>46311</v>
      </c>
      <c r="F325" t="inlineStr">
        <is>
          <t>VÄSTERBOTTENS LÄN</t>
        </is>
      </c>
      <c r="G325" t="inlineStr">
        <is>
          <t>MALÅ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46253</v>
      </c>
      <c r="E326" s="1" t="n">
        <v>46311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18.4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2116-2023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44939</v>
      </c>
      <c r="E327" s="1" t="n">
        <v>46311</v>
      </c>
      <c r="F327" t="inlineStr">
        <is>
          <t>VÄSTERBOTTENS LÄN</t>
        </is>
      </c>
      <c r="G327" t="inlineStr">
        <is>
          <t>MALÅ</t>
        </is>
      </c>
      <c r="H327" t="inlineStr">
        <is>
          <t>SCA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46311</v>
      </c>
      <c r="F328" t="inlineStr">
        <is>
          <t>VÄSTERBOTTENS LÄN</t>
        </is>
      </c>
      <c r="G328" t="inlineStr">
        <is>
          <t>MALÅ</t>
        </is>
      </c>
      <c r="I328" t="n">
        <v>16.6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46027</v>
      </c>
      <c r="E329" s="1" t="n">
        <v>46311</v>
      </c>
      <c r="F329" t="inlineStr">
        <is>
          <t>VÄSTERBOTTENS LÄN</t>
        </is>
      </c>
      <c r="G329" t="inlineStr">
        <is>
          <t>MALÅ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46027</v>
      </c>
      <c r="E330" s="1" t="n">
        <v>46311</v>
      </c>
      <c r="F330" t="inlineStr">
        <is>
          <t>VÄSTERBOTTENS LÄN</t>
        </is>
      </c>
      <c r="G330" t="inlineStr">
        <is>
          <t>MALÅ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46311</v>
      </c>
      <c r="F331" t="inlineStr">
        <is>
          <t>VÄSTERBOTTENS LÄN</t>
        </is>
      </c>
      <c r="G331" t="inlineStr">
        <is>
          <t>MALÅ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46311</v>
      </c>
      <c r="F332" t="inlineStr">
        <is>
          <t>VÄSTERBOTTENS LÄN</t>
        </is>
      </c>
      <c r="G332" t="inlineStr">
        <is>
          <t>MALÅ</t>
        </is>
      </c>
      <c r="I332" t="n">
        <v>10.8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46311</v>
      </c>
      <c r="F333" t="inlineStr">
        <is>
          <t>VÄSTERBOTTENS LÄN</t>
        </is>
      </c>
      <c r="G333" t="inlineStr">
        <is>
          <t>MALÅ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46031</v>
      </c>
      <c r="E334" s="1" t="n">
        <v>46311</v>
      </c>
      <c r="F334" t="inlineStr">
        <is>
          <t>VÄSTERBOTTENS LÄN</t>
        </is>
      </c>
      <c r="G334" t="inlineStr">
        <is>
          <t>MALÅ</t>
        </is>
      </c>
      <c r="I334" t="n">
        <v>9.5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46311</v>
      </c>
      <c r="F335" t="inlineStr">
        <is>
          <t>VÄSTERBOTTENS LÄN</t>
        </is>
      </c>
      <c r="G335" t="inlineStr">
        <is>
          <t>MALÅ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46311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3471-2026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46042</v>
      </c>
      <c r="E337" s="1" t="n">
        <v>46311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7.5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46260</v>
      </c>
      <c r="E338" s="1" t="n">
        <v>46311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45867</v>
      </c>
      <c r="E339" s="1" t="n">
        <v>46311</v>
      </c>
      <c r="F339" t="inlineStr">
        <is>
          <t>VÄSTERBOTTENS LÄN</t>
        </is>
      </c>
      <c r="G339" t="inlineStr">
        <is>
          <t>MALÅ</t>
        </is>
      </c>
      <c r="I339" t="n">
        <v>8.300000000000001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42899-2026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46310</v>
      </c>
      <c r="E340" s="1" t="n">
        <v>46311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46310</v>
      </c>
      <c r="E341" s="1" t="n">
        <v>46311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9.6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42675-2026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46309</v>
      </c>
      <c r="E342" s="1" t="n">
        <v>46311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8648-2026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46066</v>
      </c>
      <c r="E343" s="1" t="n">
        <v>46311</v>
      </c>
      <c r="F343" t="inlineStr">
        <is>
          <t>VÄSTERBOTTENS LÄN</t>
        </is>
      </c>
      <c r="G343" t="inlineStr">
        <is>
          <t>MALÅ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46311</v>
      </c>
      <c r="F344" t="inlineStr">
        <is>
          <t>VÄSTERBOTTENS LÄN</t>
        </is>
      </c>
      <c r="G344" t="inlineStr">
        <is>
          <t>MALÅ</t>
        </is>
      </c>
      <c r="H344" t="inlineStr">
        <is>
          <t>SCA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46070</v>
      </c>
      <c r="E345" s="1" t="n">
        <v>46311</v>
      </c>
      <c r="F345" t="inlineStr">
        <is>
          <t>VÄSTERBOTTENS LÄN</t>
        </is>
      </c>
      <c r="G345" t="inlineStr">
        <is>
          <t>MALÅ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9748-2026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46072</v>
      </c>
      <c r="E346" s="1" t="n">
        <v>46311</v>
      </c>
      <c r="F346" t="inlineStr">
        <is>
          <t>VÄSTERBOTTENS LÄN</t>
        </is>
      </c>
      <c r="G346" t="inlineStr">
        <is>
          <t>MALÅ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46311</v>
      </c>
      <c r="F347" t="inlineStr">
        <is>
          <t>VÄSTERBOTTENS LÄN</t>
        </is>
      </c>
      <c r="G347" t="inlineStr">
        <is>
          <t>MALÅ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13773-2026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46097</v>
      </c>
      <c r="E348" s="1" t="n">
        <v>46311</v>
      </c>
      <c r="F348" t="inlineStr">
        <is>
          <t>VÄSTERBOTTENS LÄN</t>
        </is>
      </c>
      <c r="G348" t="inlineStr">
        <is>
          <t>MALÅ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894-2022</t>
        </is>
      </c>
      <c r="B349" t="inlineStr">
        <is>
          <t>samrådsanmälan</t>
        </is>
      </c>
      <c r="C349" t="inlineStr">
        <is>
          <t>Skogsgödsling</t>
        </is>
      </c>
      <c r="D349" s="1" t="n">
        <v>44607</v>
      </c>
      <c r="E349" s="1" t="n">
        <v>46311</v>
      </c>
      <c r="F349" t="inlineStr">
        <is>
          <t>VÄSTERBOTTENS LÄN</t>
        </is>
      </c>
      <c r="G349" t="inlineStr">
        <is>
          <t>MALÅ</t>
        </is>
      </c>
      <c r="H349" t="inlineStr">
        <is>
          <t>SCA</t>
        </is>
      </c>
      <c r="I349" t="n">
        <v>86.3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2026-10-16T02:15:30Z</dcterms:created>
  <dcterms:modified xmlns:dcterms="http://purl.org/dc/terms/" xmlns:xsi="http://www.w3.org/2001/XMLSchema-instance" xsi:type="dcterms:W3CDTF">2026-10-16T02:15:31Z</dcterms:modified>
</cp:coreProperties>
</file>