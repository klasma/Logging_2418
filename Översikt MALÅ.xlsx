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46309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46309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A 39648-2026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46289</v>
      </c>
      <c r="E5" s="1" t="n">
        <v>46309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8.199999999999999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Gammelgransskål
Rynkskinn</t>
        </is>
      </c>
      <c r="W5">
        <f>HYPERLINK("https://klasma.github.io/Logging_2418/artfynd/A 39648-2026 artfynd.xlsx", "A 39648-2026")</f>
        <v/>
      </c>
      <c r="X5">
        <f>HYPERLINK("https://klasma.github.io/Logging_2418/kartor/A 39648-2026 karta.png", "A 39648-2026")</f>
        <v/>
      </c>
      <c r="Y5">
        <f>HYPERLINK("https://klasma.github.io/Logging_2418/kartor_geotiff/A 39648-2026 georefererad karta.tif", "A 39648-2026")</f>
        <v/>
      </c>
      <c r="AA5">
        <f>HYPERLINK("https://klasma.github.io/Logging_2418/klagomål/A 39648-2026 FSC-klagomål.docx", "A 39648-2026")</f>
        <v/>
      </c>
      <c r="AB5">
        <f>HYPERLINK("https://klasma.github.io/Logging_2418/klagomålsmail/A 39648-2026 FSC-klagomål mail.docx", "A 39648-2026")</f>
        <v/>
      </c>
      <c r="AC5">
        <f>HYPERLINK("https://klasma.github.io/Logging_2418/tillsyn/A 39648-2026 tillsynsbegäran.docx", "A 39648-2026")</f>
        <v/>
      </c>
      <c r="AD5">
        <f>HYPERLINK("https://klasma.github.io/Logging_2418/tillsynsmail/A 39648-2026 tillsynsbegäran mail.docx", "A 39648-2026")</f>
        <v/>
      </c>
    </row>
    <row r="6" ht="15" customHeight="1">
      <c r="A6" t="inlineStr">
        <is>
          <t>S 3446-2024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45537</v>
      </c>
      <c r="E6" s="1" t="n">
        <v>46309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12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3</v>
      </c>
      <c r="U6" t="n">
        <v>0</v>
      </c>
      <c r="V6" s="2" t="inlineStr">
        <is>
          <t>Gränsticka
Rosenticka</t>
        </is>
      </c>
      <c r="W6">
        <f>HYPERLINK("https://klasma.github.io/Logging_2418/artfynd/S 3446-2024 artfynd.xlsx", "S 3446-2024")</f>
        <v/>
      </c>
      <c r="X6">
        <f>HYPERLINK("https://klasma.github.io/Logging_2418/kartor/S 3446-2024 karta.png", "S 3446-2024")</f>
        <v/>
      </c>
      <c r="Y6">
        <f>HYPERLINK("https://klasma.github.io/Logging_2418/kartor_geotiff/S 3446-2024 georefererad karta.tif", "S 3446-2024")</f>
        <v/>
      </c>
      <c r="AA6">
        <f>HYPERLINK("https://klasma.github.io/Logging_2418/klagomål/S 3446-2024 FSC-klagomål.docx", "S 3446-2024")</f>
        <v/>
      </c>
      <c r="AB6">
        <f>HYPERLINK("https://klasma.github.io/Logging_2418/klagomålsmail/S 3446-2024 FSC-klagomål mail.docx", "S 3446-2024")</f>
        <v/>
      </c>
      <c r="AC6">
        <f>HYPERLINK("https://klasma.github.io/Logging_2418/tillsyn/S 3446-2024 tillsynsbegäran.docx", "S 3446-2024")</f>
        <v/>
      </c>
      <c r="AD6">
        <f>HYPERLINK("https://klasma.github.io/Logging_2418/tillsynsmail/S 3446-2024 tillsynsbegäran mail.docx", "S 3446-2024")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46309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46309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46309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46309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46309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35181-2026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46260</v>
      </c>
      <c r="E12" s="1" t="n">
        <v>46309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Kolflarnlav</t>
        </is>
      </c>
      <c r="W12">
        <f>HYPERLINK("https://klasma.github.io/Logging_2418/artfynd/A 35181-2026 artfynd.xlsx", "A 35181-2026")</f>
        <v/>
      </c>
      <c r="X12">
        <f>HYPERLINK("https://klasma.github.io/Logging_2418/kartor/A 35181-2026 karta.png", "A 35181-2026")</f>
        <v/>
      </c>
      <c r="Y12">
        <f>HYPERLINK("https://klasma.github.io/Logging_2418/kartor_geotiff/A 35181-2026 georefererad karta.tif", "A 35181-2026")</f>
        <v/>
      </c>
      <c r="AA12">
        <f>HYPERLINK("https://klasma.github.io/Logging_2418/klagomål/A 35181-2026 FSC-klagomål.docx", "A 35181-2026")</f>
        <v/>
      </c>
      <c r="AB12">
        <f>HYPERLINK("https://klasma.github.io/Logging_2418/klagomålsmail/A 35181-2026 FSC-klagomål mail.docx", "A 35181-2026")</f>
        <v/>
      </c>
      <c r="AC12">
        <f>HYPERLINK("https://klasma.github.io/Logging_2418/tillsyn/A 35181-2026 tillsynsbegäran.docx", "A 35181-2026")</f>
        <v/>
      </c>
      <c r="AD12">
        <f>HYPERLINK("https://klasma.github.io/Logging_2418/tillsynsmail/A 35181-2026 tillsynsbegäran mail.docx", "A 35181-2026")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46309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48144-2022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44858</v>
      </c>
      <c r="E14" s="1" t="n">
        <v>46309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58252-2021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44487</v>
      </c>
      <c r="E15" s="1" t="n">
        <v>46309</v>
      </c>
      <c r="F15" t="inlineStr">
        <is>
          <t>VÄSTERBOTTENS LÄN</t>
        </is>
      </c>
      <c r="G15" t="inlineStr">
        <is>
          <t>MALÅ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46309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4.2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46309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44587</v>
      </c>
      <c r="E18" s="1" t="n">
        <v>46309</v>
      </c>
      <c r="F18" t="inlineStr">
        <is>
          <t>VÄSTERBOTTENS LÄN</t>
        </is>
      </c>
      <c r="G18" t="inlineStr">
        <is>
          <t>MALÅ</t>
        </is>
      </c>
      <c r="I18" t="n">
        <v>10.4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48931-2023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45209</v>
      </c>
      <c r="E19" s="1" t="n">
        <v>46309</v>
      </c>
      <c r="F19" t="inlineStr">
        <is>
          <t>VÄSTERBOTTENS LÄN</t>
        </is>
      </c>
      <c r="G19" t="inlineStr">
        <is>
          <t>MALÅ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51357-2023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45219</v>
      </c>
      <c r="E20" s="1" t="n">
        <v>46309</v>
      </c>
      <c r="F20" t="inlineStr">
        <is>
          <t>VÄSTERBOTTENS LÄN</t>
        </is>
      </c>
      <c r="G20" t="inlineStr">
        <is>
          <t>MALÅ</t>
        </is>
      </c>
      <c r="H20" t="inlineStr">
        <is>
          <t>Sveaskog</t>
        </is>
      </c>
      <c r="I20" t="n">
        <v>10.8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45700</v>
      </c>
      <c r="E21" s="1" t="n">
        <v>46309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52270-2023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45217</v>
      </c>
      <c r="E22" s="1" t="n">
        <v>46309</v>
      </c>
      <c r="F22" t="inlineStr">
        <is>
          <t>VÄSTERBOTTENS LÄN</t>
        </is>
      </c>
      <c r="G22" t="inlineStr">
        <is>
          <t>MALÅ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45252</v>
      </c>
      <c r="E23" s="1" t="n">
        <v>46309</v>
      </c>
      <c r="F23" t="inlineStr">
        <is>
          <t>VÄSTERBOTTENS LÄN</t>
        </is>
      </c>
      <c r="G23" t="inlineStr">
        <is>
          <t>MALÅ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12857-2024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45384</v>
      </c>
      <c r="E24" s="1" t="n">
        <v>46309</v>
      </c>
      <c r="F24" t="inlineStr">
        <is>
          <t>VÄSTERBOTTENS LÄN</t>
        </is>
      </c>
      <c r="G24" t="inlineStr">
        <is>
          <t>MALÅ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45197</v>
      </c>
      <c r="E25" s="1" t="n">
        <v>46309</v>
      </c>
      <c r="F25" t="inlineStr">
        <is>
          <t>VÄSTERBOTTENS LÄN</t>
        </is>
      </c>
      <c r="G25" t="inlineStr">
        <is>
          <t>MALÅ</t>
        </is>
      </c>
      <c r="I25" t="n">
        <v>10.9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13004-2023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46309</v>
      </c>
      <c r="F26" t="inlineStr">
        <is>
          <t>VÄSTERBOTTENS LÄN</t>
        </is>
      </c>
      <c r="G26" t="inlineStr">
        <is>
          <t>MALÅ</t>
        </is>
      </c>
      <c r="H26" t="inlineStr">
        <is>
          <t>SCA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14280-2024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46309</v>
      </c>
      <c r="F27" t="inlineStr">
        <is>
          <t>VÄSTERBOTTENS LÄN</t>
        </is>
      </c>
      <c r="G27" t="inlineStr">
        <is>
          <t>MALÅ</t>
        </is>
      </c>
      <c r="H27" t="inlineStr">
        <is>
          <t>Sveaskog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46309</v>
      </c>
      <c r="F28" t="inlineStr">
        <is>
          <t>VÄSTERBOTTENS LÄN</t>
        </is>
      </c>
      <c r="G28" t="inlineStr">
        <is>
          <t>MALÅ</t>
        </is>
      </c>
      <c r="H28" t="inlineStr">
        <is>
          <t>Sveaskog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44889</v>
      </c>
      <c r="E29" s="1" t="n">
        <v>46309</v>
      </c>
      <c r="F29" t="inlineStr">
        <is>
          <t>VÄSTERBOTTENS LÄN</t>
        </is>
      </c>
      <c r="G29" t="inlineStr">
        <is>
          <t>MALÅ</t>
        </is>
      </c>
      <c r="I29" t="n">
        <v>10.2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59801-2021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44491</v>
      </c>
      <c r="E30" s="1" t="n">
        <v>46309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67383-2021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44523</v>
      </c>
      <c r="E31" s="1" t="n">
        <v>46309</v>
      </c>
      <c r="F31" t="inlineStr">
        <is>
          <t>VÄSTERBOTTENS LÄN</t>
        </is>
      </c>
      <c r="G31" t="inlineStr">
        <is>
          <t>MALÅ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32979-2024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45516</v>
      </c>
      <c r="E32" s="1" t="n">
        <v>46309</v>
      </c>
      <c r="F32" t="inlineStr">
        <is>
          <t>VÄSTERBOTTENS LÄN</t>
        </is>
      </c>
      <c r="G32" t="inlineStr">
        <is>
          <t>MALÅ</t>
        </is>
      </c>
      <c r="I32" t="n">
        <v>15.5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45189</v>
      </c>
      <c r="E33" s="1" t="n">
        <v>46309</v>
      </c>
      <c r="F33" t="inlineStr">
        <is>
          <t>VÄSTERBOTTENS LÄN</t>
        </is>
      </c>
      <c r="G33" t="inlineStr">
        <is>
          <t>MALÅ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46989-2023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45201</v>
      </c>
      <c r="E34" s="1" t="n">
        <v>46309</v>
      </c>
      <c r="F34" t="inlineStr">
        <is>
          <t>VÄSTERBOTTENS LÄN</t>
        </is>
      </c>
      <c r="G34" t="inlineStr">
        <is>
          <t>MALÅ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51387-2023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46309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2116-2023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44939</v>
      </c>
      <c r="E36" s="1" t="n">
        <v>46309</v>
      </c>
      <c r="F36" t="inlineStr">
        <is>
          <t>VÄSTERBOTTENS LÄN</t>
        </is>
      </c>
      <c r="G36" t="inlineStr">
        <is>
          <t>MALÅ</t>
        </is>
      </c>
      <c r="H36" t="inlineStr">
        <is>
          <t>SCA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46027</v>
      </c>
      <c r="E37" s="1" t="n">
        <v>46309</v>
      </c>
      <c r="F37" t="inlineStr">
        <is>
          <t>VÄSTERBOTTENS LÄN</t>
        </is>
      </c>
      <c r="G37" t="inlineStr">
        <is>
          <t>MALÅ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36676-2023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45152</v>
      </c>
      <c r="E38" s="1" t="n">
        <v>46309</v>
      </c>
      <c r="F38" t="inlineStr">
        <is>
          <t>VÄSTERBOTTENS LÄN</t>
        </is>
      </c>
      <c r="G38" t="inlineStr">
        <is>
          <t>MALÅ</t>
        </is>
      </c>
      <c r="I38" t="n">
        <v>16.6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45152</v>
      </c>
      <c r="E39" s="1" t="n">
        <v>46309</v>
      </c>
      <c r="F39" t="inlineStr">
        <is>
          <t>VÄSTERBOTTENS LÄN</t>
        </is>
      </c>
      <c r="G39" t="inlineStr">
        <is>
          <t>MALÅ</t>
        </is>
      </c>
      <c r="I39" t="n">
        <v>41.7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46027</v>
      </c>
      <c r="E40" s="1" t="n">
        <v>46309</v>
      </c>
      <c r="F40" t="inlineStr">
        <is>
          <t>VÄSTERBOTTENS LÄN</t>
        </is>
      </c>
      <c r="G40" t="inlineStr">
        <is>
          <t>MALÅ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45798</v>
      </c>
      <c r="E41" s="1" t="n">
        <v>46309</v>
      </c>
      <c r="F41" t="inlineStr">
        <is>
          <t>VÄSTERBOTTENS LÄN</t>
        </is>
      </c>
      <c r="G41" t="inlineStr">
        <is>
          <t>MALÅ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46309</v>
      </c>
      <c r="F42" t="inlineStr">
        <is>
          <t>VÄSTERBOTTENS LÄN</t>
        </is>
      </c>
      <c r="G42" t="inlineStr">
        <is>
          <t>MALÅ</t>
        </is>
      </c>
      <c r="I42" t="n">
        <v>10.8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46309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45520</v>
      </c>
      <c r="E44" s="1" t="n">
        <v>46309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45098</v>
      </c>
      <c r="E45" s="1" t="n">
        <v>46309</v>
      </c>
      <c r="F45" t="inlineStr">
        <is>
          <t>VÄSTERBOTTENS LÄN</t>
        </is>
      </c>
      <c r="G45" t="inlineStr">
        <is>
          <t>MALÅ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1272-2026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46031</v>
      </c>
      <c r="E46" s="1" t="n">
        <v>46309</v>
      </c>
      <c r="F46" t="inlineStr">
        <is>
          <t>VÄSTERBOTTENS LÄN</t>
        </is>
      </c>
      <c r="G46" t="inlineStr">
        <is>
          <t>MALÅ</t>
        </is>
      </c>
      <c r="I46" t="n">
        <v>9.5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24924-2025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46309</v>
      </c>
      <c r="F47" t="inlineStr">
        <is>
          <t>VÄSTERBOTTENS LÄN</t>
        </is>
      </c>
      <c r="G47" t="inlineStr">
        <is>
          <t>MALÅ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46031</v>
      </c>
      <c r="E48" s="1" t="n">
        <v>46309</v>
      </c>
      <c r="F48" t="inlineStr">
        <is>
          <t>VÄSTERBOTTENS LÄN</t>
        </is>
      </c>
      <c r="G48" t="inlineStr">
        <is>
          <t>MALÅ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39622-2025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46309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39627-2025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45890</v>
      </c>
      <c r="E50" s="1" t="n">
        <v>46309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39614-2025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45890</v>
      </c>
      <c r="E51" s="1" t="n">
        <v>46309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45238</v>
      </c>
      <c r="E52" s="1" t="n">
        <v>46309</v>
      </c>
      <c r="F52" t="inlineStr">
        <is>
          <t>VÄSTERBOTTENS LÄN</t>
        </is>
      </c>
      <c r="G52" t="inlineStr">
        <is>
          <t>MALÅ</t>
        </is>
      </c>
      <c r="H52" t="inlineStr">
        <is>
          <t>SCA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41360-2023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45174</v>
      </c>
      <c r="E53" s="1" t="n">
        <v>46309</v>
      </c>
      <c r="F53" t="inlineStr">
        <is>
          <t>VÄSTERBOTTENS LÄN</t>
        </is>
      </c>
      <c r="G53" t="inlineStr">
        <is>
          <t>MALÅ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37171-2023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45154</v>
      </c>
      <c r="E54" s="1" t="n">
        <v>46309</v>
      </c>
      <c r="F54" t="inlineStr">
        <is>
          <t>VÄSTERBOTTENS LÄN</t>
        </is>
      </c>
      <c r="G54" t="inlineStr">
        <is>
          <t>MALÅ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46309</v>
      </c>
      <c r="F55" t="inlineStr">
        <is>
          <t>VÄSTERBOTTENS LÄN</t>
        </is>
      </c>
      <c r="G55" t="inlineStr">
        <is>
          <t>MALÅ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31088-2024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45502</v>
      </c>
      <c r="E56" s="1" t="n">
        <v>46309</v>
      </c>
      <c r="F56" t="inlineStr">
        <is>
          <t>VÄSTERBOTTENS LÄN</t>
        </is>
      </c>
      <c r="G56" t="inlineStr">
        <is>
          <t>MALÅ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31273-2024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45504</v>
      </c>
      <c r="E57" s="1" t="n">
        <v>46309</v>
      </c>
      <c r="F57" t="inlineStr">
        <is>
          <t>VÄSTERBOTTENS LÄN</t>
        </is>
      </c>
      <c r="G57" t="inlineStr">
        <is>
          <t>MALÅ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46309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22.4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45898</v>
      </c>
      <c r="E59" s="1" t="n">
        <v>46309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41191-2025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46309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40943-2025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45897</v>
      </c>
      <c r="E61" s="1" t="n">
        <v>46309</v>
      </c>
      <c r="F61" t="inlineStr">
        <is>
          <t>VÄSTERBOTTENS LÄN</t>
        </is>
      </c>
      <c r="G61" t="inlineStr">
        <is>
          <t>MALÅ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41559-2025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46309</v>
      </c>
      <c r="F62" t="inlineStr">
        <is>
          <t>VÄSTERBOTTENS LÄN</t>
        </is>
      </c>
      <c r="G62" t="inlineStr">
        <is>
          <t>MALÅ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48089-2024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46309</v>
      </c>
      <c r="F63" t="inlineStr">
        <is>
          <t>VÄSTERBOTTENS LÄN</t>
        </is>
      </c>
      <c r="G63" t="inlineStr">
        <is>
          <t>MALÅ</t>
        </is>
      </c>
      <c r="H63" t="inlineStr">
        <is>
          <t>SCA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58240-2022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46309</v>
      </c>
      <c r="F64" t="inlineStr">
        <is>
          <t>VÄSTERBOTTENS LÄN</t>
        </is>
      </c>
      <c r="G64" t="inlineStr">
        <is>
          <t>MALÅ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44928</v>
      </c>
      <c r="E65" s="1" t="n">
        <v>46309</v>
      </c>
      <c r="F65" t="inlineStr">
        <is>
          <t>VÄSTERBOTTENS LÄN</t>
        </is>
      </c>
      <c r="G65" t="inlineStr">
        <is>
          <t>MALÅ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38312-2023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46309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63.6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1900-2026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46309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16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40370-2023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46309</v>
      </c>
      <c r="F68" t="inlineStr">
        <is>
          <t>VÄSTERBOTTENS LÄN</t>
        </is>
      </c>
      <c r="G68" t="inlineStr">
        <is>
          <t>MALÅ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48034-2025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45932</v>
      </c>
      <c r="E69" s="1" t="n">
        <v>46309</v>
      </c>
      <c r="F69" t="inlineStr">
        <is>
          <t>VÄSTERBOTTENS LÄN</t>
        </is>
      </c>
      <c r="G69" t="inlineStr">
        <is>
          <t>MALÅ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48058-2025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45932</v>
      </c>
      <c r="E70" s="1" t="n">
        <v>46309</v>
      </c>
      <c r="F70" t="inlineStr">
        <is>
          <t>VÄSTERBOTTENS LÄN</t>
        </is>
      </c>
      <c r="G70" t="inlineStr">
        <is>
          <t>MALÅ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32772-2024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45516</v>
      </c>
      <c r="E71" s="1" t="n">
        <v>46309</v>
      </c>
      <c r="F71" t="inlineStr">
        <is>
          <t>VÄSTERBOTTENS LÄN</t>
        </is>
      </c>
      <c r="G71" t="inlineStr">
        <is>
          <t>MALÅ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34413-2023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46309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46309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49207-2025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46309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20234-2023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45054</v>
      </c>
      <c r="E75" s="1" t="n">
        <v>46309</v>
      </c>
      <c r="F75" t="inlineStr">
        <is>
          <t>VÄSTERBOTTENS LÄN</t>
        </is>
      </c>
      <c r="G75" t="inlineStr">
        <is>
          <t>MALÅ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46309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49070-2025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46309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46309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49657-2025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45939</v>
      </c>
      <c r="E79" s="1" t="n">
        <v>46309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46042</v>
      </c>
      <c r="E80" s="1" t="n">
        <v>46309</v>
      </c>
      <c r="F80" t="inlineStr">
        <is>
          <t>VÄSTERBOTTENS LÄN</t>
        </is>
      </c>
      <c r="G80" t="inlineStr">
        <is>
          <t>MALÅ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46309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45860</v>
      </c>
      <c r="E82" s="1" t="n">
        <v>46309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45860</v>
      </c>
      <c r="E83" s="1" t="n">
        <v>46309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45861</v>
      </c>
      <c r="E84" s="1" t="n">
        <v>46309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45861</v>
      </c>
      <c r="E85" s="1" t="n">
        <v>46309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45861</v>
      </c>
      <c r="E86" s="1" t="n">
        <v>46309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45861</v>
      </c>
      <c r="E87" s="1" t="n">
        <v>46309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51967-2025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46309</v>
      </c>
      <c r="F88" t="inlineStr">
        <is>
          <t>VÄSTERBOTTENS LÄN</t>
        </is>
      </c>
      <c r="G88" t="inlineStr">
        <is>
          <t>MALÅ</t>
        </is>
      </c>
      <c r="H88" t="inlineStr">
        <is>
          <t>SCA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45952</v>
      </c>
      <c r="E89" s="1" t="n">
        <v>46309</v>
      </c>
      <c r="F89" t="inlineStr">
        <is>
          <t>VÄSTERBOTTENS LÄN</t>
        </is>
      </c>
      <c r="G89" t="inlineStr">
        <is>
          <t>MALÅ</t>
        </is>
      </c>
      <c r="I89" t="n">
        <v>18.6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51936-2025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45952</v>
      </c>
      <c r="E90" s="1" t="n">
        <v>46309</v>
      </c>
      <c r="F90" t="inlineStr">
        <is>
          <t>VÄSTERBOTTENS LÄN</t>
        </is>
      </c>
      <c r="G90" t="inlineStr">
        <is>
          <t>MALÅ</t>
        </is>
      </c>
      <c r="I90" t="n">
        <v>6.6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45154</v>
      </c>
      <c r="E91" s="1" t="n">
        <v>46309</v>
      </c>
      <c r="F91" t="inlineStr">
        <is>
          <t>VÄSTERBOTTENS LÄN</t>
        </is>
      </c>
      <c r="G91" t="inlineStr">
        <is>
          <t>MALÅ</t>
        </is>
      </c>
      <c r="I91" t="n">
        <v>73.7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45952</v>
      </c>
      <c r="E92" s="1" t="n">
        <v>46309</v>
      </c>
      <c r="F92" t="inlineStr">
        <is>
          <t>VÄSTERBOTTENS LÄN</t>
        </is>
      </c>
      <c r="G92" t="inlineStr">
        <is>
          <t>MALÅ</t>
        </is>
      </c>
      <c r="H92" t="inlineStr">
        <is>
          <t>SCA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51963-2025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45952</v>
      </c>
      <c r="E93" s="1" t="n">
        <v>46309</v>
      </c>
      <c r="F93" t="inlineStr">
        <is>
          <t>VÄSTERBOTTENS LÄN</t>
        </is>
      </c>
      <c r="G93" t="inlineStr">
        <is>
          <t>MALÅ</t>
        </is>
      </c>
      <c r="H93" t="inlineStr">
        <is>
          <t>SCA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45952</v>
      </c>
      <c r="E94" s="1" t="n">
        <v>46309</v>
      </c>
      <c r="F94" t="inlineStr">
        <is>
          <t>VÄSTERBOTTENS LÄN</t>
        </is>
      </c>
      <c r="G94" t="inlineStr">
        <is>
          <t>MALÅ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51950-2025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45952</v>
      </c>
      <c r="E95" s="1" t="n">
        <v>46309</v>
      </c>
      <c r="F95" t="inlineStr">
        <is>
          <t>VÄSTERBOTTENS LÄN</t>
        </is>
      </c>
      <c r="G95" t="inlineStr">
        <is>
          <t>MALÅ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45230</v>
      </c>
      <c r="E96" s="1" t="n">
        <v>46309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46309</v>
      </c>
      <c r="F97" t="inlineStr">
        <is>
          <t>VÄSTERBOTTENS LÄN</t>
        </is>
      </c>
      <c r="G97" t="inlineStr">
        <is>
          <t>MALÅ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46309</v>
      </c>
      <c r="F98" t="inlineStr">
        <is>
          <t>VÄSTERBOTTENS LÄN</t>
        </is>
      </c>
      <c r="G98" t="inlineStr">
        <is>
          <t>MALÅ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56727-2022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46309</v>
      </c>
      <c r="F99" t="inlineStr">
        <is>
          <t>VÄSTERBOTTENS LÄN</t>
        </is>
      </c>
      <c r="G99" t="inlineStr">
        <is>
          <t>MALÅ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46309</v>
      </c>
      <c r="F100" t="inlineStr">
        <is>
          <t>VÄSTERBOTTENS LÄN</t>
        </is>
      </c>
      <c r="G100" t="inlineStr">
        <is>
          <t>MALÅ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Z100">
        <f>HYPERLINK("https://klasma.github.io/Logging_2418/knärot/A 41353-2023 karta knärot.png", "A 41353-2023")</f>
        <v/>
      </c>
      <c r="AA100">
        <f>HYPERLINK("https://klasma.github.io/Logging_2418/klagomål/A 41353-2023 FSC-klagomål.docx", "A 41353-2023")</f>
        <v/>
      </c>
      <c r="AB100">
        <f>HYPERLINK("https://klasma.github.io/Logging_2418/klagomålsmail/A 41353-2023 FSC-klagomål mail.docx", "A 41353-2023")</f>
        <v/>
      </c>
      <c r="AC100">
        <f>HYPERLINK("https://klasma.github.io/Logging_2418/tillsyn/A 41353-2023 tillsynsbegäran.docx", "A 41353-2023")</f>
        <v/>
      </c>
      <c r="AD100">
        <f>HYPERLINK("https://klasma.github.io/Logging_2418/tillsynsmail/A 41353-2023 tillsynsbegäran mail.docx", "A 41353-2023")</f>
        <v/>
      </c>
    </row>
    <row r="101" ht="15" customHeight="1">
      <c r="A101" t="inlineStr">
        <is>
          <t>A 37119-2025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46309</v>
      </c>
      <c r="F101" t="inlineStr">
        <is>
          <t>VÄSTERBOTTENS LÄN</t>
        </is>
      </c>
      <c r="G101" t="inlineStr">
        <is>
          <t>MALÅ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45960</v>
      </c>
      <c r="E102" s="1" t="n">
        <v>46309</v>
      </c>
      <c r="F102" t="inlineStr">
        <is>
          <t>VÄSTERBOTTENS LÄN</t>
        </is>
      </c>
      <c r="G102" t="inlineStr">
        <is>
          <t>MALÅ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45964</v>
      </c>
      <c r="E103" s="1" t="n">
        <v>46309</v>
      </c>
      <c r="F103" t="inlineStr">
        <is>
          <t>VÄSTERBOTTENS LÄN</t>
        </is>
      </c>
      <c r="G103" t="inlineStr">
        <is>
          <t>MALÅ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54742-2025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45966</v>
      </c>
      <c r="E104" s="1" t="n">
        <v>46309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37327-2023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45154</v>
      </c>
      <c r="E105" s="1" t="n">
        <v>46309</v>
      </c>
      <c r="F105" t="inlineStr">
        <is>
          <t>VÄSTERBOTTENS LÄN</t>
        </is>
      </c>
      <c r="G105" t="inlineStr">
        <is>
          <t>MALÅ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46309</v>
      </c>
      <c r="F106" t="inlineStr">
        <is>
          <t>VÄSTERBOTTENS LÄN</t>
        </is>
      </c>
      <c r="G106" t="inlineStr">
        <is>
          <t>MALÅ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45966</v>
      </c>
      <c r="E107" s="1" t="n">
        <v>46309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11.9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41852-2023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45174</v>
      </c>
      <c r="E108" s="1" t="n">
        <v>46309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41913-2023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46309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54463-2025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45964</v>
      </c>
      <c r="E110" s="1" t="n">
        <v>46309</v>
      </c>
      <c r="F110" t="inlineStr">
        <is>
          <t>VÄSTERBOTTENS LÄN</t>
        </is>
      </c>
      <c r="G110" t="inlineStr">
        <is>
          <t>MALÅ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54455-2025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45964</v>
      </c>
      <c r="E111" s="1" t="n">
        <v>46309</v>
      </c>
      <c r="F111" t="inlineStr">
        <is>
          <t>VÄSTERBOTTENS LÄN</t>
        </is>
      </c>
      <c r="G111" t="inlineStr">
        <is>
          <t>MALÅ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56102-2025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46309</v>
      </c>
      <c r="F112" t="inlineStr">
        <is>
          <t>VÄSTERBOTTENS LÄN</t>
        </is>
      </c>
      <c r="G112" t="inlineStr">
        <is>
          <t>MALÅ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41792-2023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46309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11824-2023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46309</v>
      </c>
      <c r="F114" t="inlineStr">
        <is>
          <t>VÄSTERBOTTENS LÄN</t>
        </is>
      </c>
      <c r="G114" t="inlineStr">
        <is>
          <t>MALÅ</t>
        </is>
      </c>
      <c r="I114" t="n">
        <v>7.7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46309</v>
      </c>
      <c r="F115" t="inlineStr">
        <is>
          <t>VÄSTERBOTTENS LÄN</t>
        </is>
      </c>
      <c r="G115" t="inlineStr">
        <is>
          <t>MALÅ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49434-2023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45211</v>
      </c>
      <c r="E116" s="1" t="n">
        <v>46309</v>
      </c>
      <c r="F116" t="inlineStr">
        <is>
          <t>VÄSTERBOTTENS LÄN</t>
        </is>
      </c>
      <c r="G116" t="inlineStr">
        <is>
          <t>MALÅ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46309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46309</v>
      </c>
      <c r="F118" t="inlineStr">
        <is>
          <t>VÄSTERBOTTENS LÄN</t>
        </is>
      </c>
      <c r="G118" t="inlineStr">
        <is>
          <t>MALÅ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34353-2022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44792</v>
      </c>
      <c r="E119" s="1" t="n">
        <v>46309</v>
      </c>
      <c r="F119" t="inlineStr">
        <is>
          <t>VÄSTERBOTTENS LÄN</t>
        </is>
      </c>
      <c r="G119" t="inlineStr">
        <is>
          <t>MALÅ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46309</v>
      </c>
      <c r="F120" t="inlineStr">
        <is>
          <t>VÄSTERBOTTENS LÄN</t>
        </is>
      </c>
      <c r="G120" t="inlineStr">
        <is>
          <t>MALÅ</t>
        </is>
      </c>
      <c r="I120" t="n">
        <v>20.7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46309</v>
      </c>
      <c r="F121" t="inlineStr">
        <is>
          <t>VÄSTERBOTTENS LÄN</t>
        </is>
      </c>
      <c r="G121" t="inlineStr">
        <is>
          <t>MALÅ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45989</v>
      </c>
      <c r="E122" s="1" t="n">
        <v>46309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45989</v>
      </c>
      <c r="E123" s="1" t="n">
        <v>46309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59448-2025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46309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60520-2024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46309</v>
      </c>
      <c r="F125" t="inlineStr">
        <is>
          <t>VÄSTERBOTTENS LÄN</t>
        </is>
      </c>
      <c r="G125" t="inlineStr">
        <is>
          <t>MALÅ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59443-2025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45989</v>
      </c>
      <c r="E126" s="1" t="n">
        <v>46309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46309</v>
      </c>
      <c r="F127" t="inlineStr">
        <is>
          <t>VÄSTERBOTTENS LÄN</t>
        </is>
      </c>
      <c r="G127" t="inlineStr">
        <is>
          <t>MALÅ</t>
        </is>
      </c>
      <c r="H127" t="inlineStr">
        <is>
          <t>Sveaskog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8648-2026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46066</v>
      </c>
      <c r="E128" s="1" t="n">
        <v>46309</v>
      </c>
      <c r="F128" t="inlineStr">
        <is>
          <t>VÄSTERBOTTENS LÄN</t>
        </is>
      </c>
      <c r="G128" t="inlineStr">
        <is>
          <t>MALÅ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46309</v>
      </c>
      <c r="F129" t="inlineStr">
        <is>
          <t>VÄSTERBOTTENS LÄN</t>
        </is>
      </c>
      <c r="G129" t="inlineStr">
        <is>
          <t>MALÅ</t>
        </is>
      </c>
      <c r="H129" t="inlineStr">
        <is>
          <t>SCA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9311-2026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46309</v>
      </c>
      <c r="F130" t="inlineStr">
        <is>
          <t>VÄSTERBOTTENS LÄN</t>
        </is>
      </c>
      <c r="G130" t="inlineStr">
        <is>
          <t>MALÅ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12797-2023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45000</v>
      </c>
      <c r="E131" s="1" t="n">
        <v>46309</v>
      </c>
      <c r="F131" t="inlineStr">
        <is>
          <t>VÄSTERBOTTENS LÄN</t>
        </is>
      </c>
      <c r="G131" t="inlineStr">
        <is>
          <t>MALÅ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45999</v>
      </c>
      <c r="E132" s="1" t="n">
        <v>46309</v>
      </c>
      <c r="F132" t="inlineStr">
        <is>
          <t>VÄSTERBOTTENS LÄN</t>
        </is>
      </c>
      <c r="G132" t="inlineStr">
        <is>
          <t>MALÅ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45201</v>
      </c>
      <c r="E133" s="1" t="n">
        <v>46309</v>
      </c>
      <c r="F133" t="inlineStr">
        <is>
          <t>VÄSTERBOTTENS LÄN</t>
        </is>
      </c>
      <c r="G133" t="inlineStr">
        <is>
          <t>MALÅ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9748-2026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46309</v>
      </c>
      <c r="F134" t="inlineStr">
        <is>
          <t>VÄSTERBOTTENS LÄN</t>
        </is>
      </c>
      <c r="G134" t="inlineStr">
        <is>
          <t>MALÅ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46001</v>
      </c>
      <c r="E135" s="1" t="n">
        <v>46309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61785-2025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46002</v>
      </c>
      <c r="E136" s="1" t="n">
        <v>46309</v>
      </c>
      <c r="F136" t="inlineStr">
        <is>
          <t>VÄSTERBOTTENS LÄN</t>
        </is>
      </c>
      <c r="G136" t="inlineStr">
        <is>
          <t>MALÅ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36743-2023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46309</v>
      </c>
      <c r="F137" t="inlineStr">
        <is>
          <t>VÄSTERBOTTENS LÄN</t>
        </is>
      </c>
      <c r="G137" t="inlineStr">
        <is>
          <t>MALÅ</t>
        </is>
      </c>
      <c r="I137" t="n">
        <v>15.7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36744-2023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46309</v>
      </c>
      <c r="F138" t="inlineStr">
        <is>
          <t>VÄSTERBOTTENS LÄN</t>
        </is>
      </c>
      <c r="G138" t="inlineStr">
        <is>
          <t>MALÅ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42182-2023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45178</v>
      </c>
      <c r="E139" s="1" t="n">
        <v>46309</v>
      </c>
      <c r="F139" t="inlineStr">
        <is>
          <t>VÄSTERBOTTENS LÄN</t>
        </is>
      </c>
      <c r="G139" t="inlineStr">
        <is>
          <t>MALÅ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61844-2025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46003</v>
      </c>
      <c r="E140" s="1" t="n">
        <v>46309</v>
      </c>
      <c r="F140" t="inlineStr">
        <is>
          <t>VÄSTERBOTTENS LÄN</t>
        </is>
      </c>
      <c r="G140" t="inlineStr">
        <is>
          <t>MALÅ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45002</v>
      </c>
      <c r="E141" s="1" t="n">
        <v>46309</v>
      </c>
      <c r="F141" t="inlineStr">
        <is>
          <t>VÄSTERBOTTENS LÄN</t>
        </is>
      </c>
      <c r="G141" t="inlineStr">
        <is>
          <t>MALÅ</t>
        </is>
      </c>
      <c r="H141" t="inlineStr">
        <is>
          <t>SCA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60168-2024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46309</v>
      </c>
      <c r="F142" t="inlineStr">
        <is>
          <t>VÄSTERBOTTENS LÄN</t>
        </is>
      </c>
      <c r="G142" t="inlineStr">
        <is>
          <t>MALÅ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51308-2023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45212</v>
      </c>
      <c r="E143" s="1" t="n">
        <v>46309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45184</v>
      </c>
      <c r="E144" s="1" t="n">
        <v>46309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45222</v>
      </c>
      <c r="E145" s="1" t="n">
        <v>46309</v>
      </c>
      <c r="F145" t="inlineStr">
        <is>
          <t>VÄSTERBOTTENS LÄN</t>
        </is>
      </c>
      <c r="G145" t="inlineStr">
        <is>
          <t>MALÅ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46309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46309</v>
      </c>
      <c r="F147" t="inlineStr">
        <is>
          <t>VÄSTERBOTTENS LÄN</t>
        </is>
      </c>
      <c r="G147" t="inlineStr">
        <is>
          <t>MALÅ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46309</v>
      </c>
      <c r="F148" t="inlineStr">
        <is>
          <t>VÄSTERBOTTENS LÄN</t>
        </is>
      </c>
      <c r="G148" t="inlineStr">
        <is>
          <t>MALÅ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46309</v>
      </c>
      <c r="F149" t="inlineStr">
        <is>
          <t>VÄSTERBOTTENS LÄN</t>
        </is>
      </c>
      <c r="G149" t="inlineStr">
        <is>
          <t>MALÅ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45646</v>
      </c>
      <c r="E150" s="1" t="n">
        <v>46309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36124-2023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45149</v>
      </c>
      <c r="E151" s="1" t="n">
        <v>46309</v>
      </c>
      <c r="F151" t="inlineStr">
        <is>
          <t>VÄSTERBOTTENS LÄN</t>
        </is>
      </c>
      <c r="G151" t="inlineStr">
        <is>
          <t>MALÅ</t>
        </is>
      </c>
      <c r="I151" t="n">
        <v>26.9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47799-2023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46309</v>
      </c>
      <c r="F152" t="inlineStr">
        <is>
          <t>VÄSTERBOTTENS LÄN</t>
        </is>
      </c>
      <c r="G152" t="inlineStr">
        <is>
          <t>MALÅ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46309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46309</v>
      </c>
      <c r="F154" t="inlineStr">
        <is>
          <t>VÄSTERBOTTENS LÄN</t>
        </is>
      </c>
      <c r="G154" t="inlineStr">
        <is>
          <t>MALÅ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45022</v>
      </c>
      <c r="E155" s="1" t="n">
        <v>46309</v>
      </c>
      <c r="F155" t="inlineStr">
        <is>
          <t>VÄSTERBOTTENS LÄN</t>
        </is>
      </c>
      <c r="G155" t="inlineStr">
        <is>
          <t>MALÅ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45022</v>
      </c>
      <c r="E156" s="1" t="n">
        <v>46309</v>
      </c>
      <c r="F156" t="inlineStr">
        <is>
          <t>VÄSTERBOTTENS LÄN</t>
        </is>
      </c>
      <c r="G156" t="inlineStr">
        <is>
          <t>MALÅ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13773-2026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46097</v>
      </c>
      <c r="E157" s="1" t="n">
        <v>46309</v>
      </c>
      <c r="F157" t="inlineStr">
        <is>
          <t>VÄSTERBOTTENS LÄN</t>
        </is>
      </c>
      <c r="G157" t="inlineStr">
        <is>
          <t>MALÅ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13775-2026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46097</v>
      </c>
      <c r="E158" s="1" t="n">
        <v>46309</v>
      </c>
      <c r="F158" t="inlineStr">
        <is>
          <t>VÄSTERBOTTENS LÄN</t>
        </is>
      </c>
      <c r="G158" t="inlineStr">
        <is>
          <t>MALÅ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37960-2023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45160</v>
      </c>
      <c r="E159" s="1" t="n">
        <v>46309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21.8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46359-2023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45193</v>
      </c>
      <c r="E160" s="1" t="n">
        <v>46309</v>
      </c>
      <c r="F160" t="inlineStr">
        <is>
          <t>VÄSTERBOTTENS LÄN</t>
        </is>
      </c>
      <c r="G160" t="inlineStr">
        <is>
          <t>MALÅ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15306-2026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46105</v>
      </c>
      <c r="E161" s="1" t="n">
        <v>46309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15286-2026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46309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45102-2023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45190</v>
      </c>
      <c r="E163" s="1" t="n">
        <v>46309</v>
      </c>
      <c r="F163" t="inlineStr">
        <is>
          <t>VÄSTERBOTTENS LÄN</t>
        </is>
      </c>
      <c r="G163" t="inlineStr">
        <is>
          <t>MALÅ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37078-2023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46309</v>
      </c>
      <c r="F164" t="inlineStr">
        <is>
          <t>VÄSTERBOTTENS LÄN</t>
        </is>
      </c>
      <c r="G164" t="inlineStr">
        <is>
          <t>MALÅ</t>
        </is>
      </c>
      <c r="I164" t="n">
        <v>48.2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45174</v>
      </c>
      <c r="E165" s="1" t="n">
        <v>46309</v>
      </c>
      <c r="F165" t="inlineStr">
        <is>
          <t>VÄSTERBOTTENS LÄN</t>
        </is>
      </c>
      <c r="G165" t="inlineStr">
        <is>
          <t>MALÅ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45166</v>
      </c>
      <c r="E166" s="1" t="n">
        <v>46309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46309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19.7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35917-2022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44802</v>
      </c>
      <c r="E168" s="1" t="n">
        <v>46309</v>
      </c>
      <c r="F168" t="inlineStr">
        <is>
          <t>VÄSTERBOTTENS LÄN</t>
        </is>
      </c>
      <c r="G168" t="inlineStr">
        <is>
          <t>MALÅ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15857-2023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46309</v>
      </c>
      <c r="F169" t="inlineStr">
        <is>
          <t>VÄSTERBOTTENS LÄN</t>
        </is>
      </c>
      <c r="G169" t="inlineStr">
        <is>
          <t>MALÅ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46309</v>
      </c>
      <c r="F170" t="inlineStr">
        <is>
          <t>VÄSTERBOTTENS LÄN</t>
        </is>
      </c>
      <c r="G170" t="inlineStr">
        <is>
          <t>MALÅ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45179</v>
      </c>
      <c r="E171" s="1" t="n">
        <v>46309</v>
      </c>
      <c r="F171" t="inlineStr">
        <is>
          <t>VÄSTERBOTTENS LÄN</t>
        </is>
      </c>
      <c r="G171" t="inlineStr">
        <is>
          <t>MALÅ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45167</v>
      </c>
      <c r="E172" s="1" t="n">
        <v>46309</v>
      </c>
      <c r="F172" t="inlineStr">
        <is>
          <t>VÄSTERBOTTENS LÄN</t>
        </is>
      </c>
      <c r="G172" t="inlineStr">
        <is>
          <t>MALÅ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46133</v>
      </c>
      <c r="E173" s="1" t="n">
        <v>46309</v>
      </c>
      <c r="F173" t="inlineStr">
        <is>
          <t>VÄSTERBOTTENS LÄN</t>
        </is>
      </c>
      <c r="G173" t="inlineStr">
        <is>
          <t>MALÅ</t>
        </is>
      </c>
      <c r="H173" t="inlineStr">
        <is>
          <t>Sveaskog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46309</v>
      </c>
      <c r="F174" t="inlineStr">
        <is>
          <t>VÄSTERBOTTENS LÄN</t>
        </is>
      </c>
      <c r="G174" t="inlineStr">
        <is>
          <t>MALÅ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46133</v>
      </c>
      <c r="E175" s="1" t="n">
        <v>46309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55.9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19351-2026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46133</v>
      </c>
      <c r="E176" s="1" t="n">
        <v>46309</v>
      </c>
      <c r="F176" t="inlineStr">
        <is>
          <t>VÄSTERBOTTENS LÄN</t>
        </is>
      </c>
      <c r="G176" t="inlineStr">
        <is>
          <t>MALÅ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62124-2024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46309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45148</v>
      </c>
      <c r="E178" s="1" t="n">
        <v>46309</v>
      </c>
      <c r="F178" t="inlineStr">
        <is>
          <t>VÄSTERBOTTENS LÄN</t>
        </is>
      </c>
      <c r="G178" t="inlineStr">
        <is>
          <t>MALÅ</t>
        </is>
      </c>
      <c r="I178" t="n">
        <v>26.3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57303-2023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45245</v>
      </c>
      <c r="E179" s="1" t="n">
        <v>46309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9191-2025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45714</v>
      </c>
      <c r="E180" s="1" t="n">
        <v>46309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18.7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46309</v>
      </c>
      <c r="F181" t="inlineStr">
        <is>
          <t>VÄSTERBOTTENS LÄN</t>
        </is>
      </c>
      <c r="G181" t="inlineStr">
        <is>
          <t>MALÅ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46309</v>
      </c>
      <c r="F182" t="inlineStr">
        <is>
          <t>VÄSTERBOTTENS LÄN</t>
        </is>
      </c>
      <c r="G182" t="inlineStr">
        <is>
          <t>MALÅ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37537-2023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45158</v>
      </c>
      <c r="E183" s="1" t="n">
        <v>46309</v>
      </c>
      <c r="F183" t="inlineStr">
        <is>
          <t>VÄSTERBOTTENS LÄN</t>
        </is>
      </c>
      <c r="G183" t="inlineStr">
        <is>
          <t>MALÅ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37678-2023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45156</v>
      </c>
      <c r="E184" s="1" t="n">
        <v>46309</v>
      </c>
      <c r="F184" t="inlineStr">
        <is>
          <t>VÄSTERBOTTENS LÄN</t>
        </is>
      </c>
      <c r="G184" t="inlineStr">
        <is>
          <t>MALÅ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39385-2023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46309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46309</v>
      </c>
      <c r="F186" t="inlineStr">
        <is>
          <t>VÄSTERBOTTENS LÄN</t>
        </is>
      </c>
      <c r="G186" t="inlineStr">
        <is>
          <t>MALÅ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46309</v>
      </c>
      <c r="F187" t="inlineStr">
        <is>
          <t>VÄSTERBOTTENS LÄN</t>
        </is>
      </c>
      <c r="G187" t="inlineStr">
        <is>
          <t>MALÅ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52795-2024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46309</v>
      </c>
      <c r="F188" t="inlineStr">
        <is>
          <t>VÄSTERBOTTENS LÄN</t>
        </is>
      </c>
      <c r="G188" t="inlineStr">
        <is>
          <t>MALÅ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46309</v>
      </c>
      <c r="F189" t="inlineStr">
        <is>
          <t>VÄSTERBOTTENS LÄN</t>
        </is>
      </c>
      <c r="G189" t="inlineStr">
        <is>
          <t>MALÅ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61609-2024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46309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46309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30.8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40593-2023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45170</v>
      </c>
      <c r="E192" s="1" t="n">
        <v>46309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18.2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37159-2023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45154</v>
      </c>
      <c r="E193" s="1" t="n">
        <v>46309</v>
      </c>
      <c r="F193" t="inlineStr">
        <is>
          <t>VÄSTERBOTTENS LÄN</t>
        </is>
      </c>
      <c r="G193" t="inlineStr">
        <is>
          <t>MALÅ</t>
        </is>
      </c>
      <c r="I193" t="n">
        <v>63.5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46309</v>
      </c>
      <c r="F194" t="inlineStr">
        <is>
          <t>VÄSTERBOTTENS LÄN</t>
        </is>
      </c>
      <c r="G194" t="inlineStr">
        <is>
          <t>MALÅ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48224-2024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46309</v>
      </c>
      <c r="F195" t="inlineStr">
        <is>
          <t>VÄSTERBOTTENS LÄN</t>
        </is>
      </c>
      <c r="G195" t="inlineStr">
        <is>
          <t>MALÅ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46154</v>
      </c>
      <c r="E196" s="1" t="n">
        <v>46309</v>
      </c>
      <c r="F196" t="inlineStr">
        <is>
          <t>VÄSTERBOTTENS LÄN</t>
        </is>
      </c>
      <c r="G196" t="inlineStr">
        <is>
          <t>MALÅ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46309</v>
      </c>
      <c r="F197" t="inlineStr">
        <is>
          <t>VÄSTERBOTTENS LÄN</t>
        </is>
      </c>
      <c r="G197" t="inlineStr">
        <is>
          <t>MALÅ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45719</v>
      </c>
      <c r="E198" s="1" t="n">
        <v>46309</v>
      </c>
      <c r="F198" t="inlineStr">
        <is>
          <t>VÄSTERBOTTENS LÄN</t>
        </is>
      </c>
      <c r="G198" t="inlineStr">
        <is>
          <t>MALÅ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45238</v>
      </c>
      <c r="E199" s="1" t="n">
        <v>46309</v>
      </c>
      <c r="F199" t="inlineStr">
        <is>
          <t>VÄSTERBOTTENS LÄN</t>
        </is>
      </c>
      <c r="G199" t="inlineStr">
        <is>
          <t>MALÅ</t>
        </is>
      </c>
      <c r="H199" t="inlineStr">
        <is>
          <t>SCA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60616-2024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45642</v>
      </c>
      <c r="E200" s="1" t="n">
        <v>46309</v>
      </c>
      <c r="F200" t="inlineStr">
        <is>
          <t>VÄSTERBOTTENS LÄN</t>
        </is>
      </c>
      <c r="G200" t="inlineStr">
        <is>
          <t>MALÅ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45162</v>
      </c>
      <c r="E201" s="1" t="n">
        <v>46309</v>
      </c>
      <c r="F201" t="inlineStr">
        <is>
          <t>VÄSTERBOTTENS LÄN</t>
        </is>
      </c>
      <c r="G201" t="inlineStr">
        <is>
          <t>MALÅ</t>
        </is>
      </c>
      <c r="I201" t="n">
        <v>17.5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43952-2023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45187</v>
      </c>
      <c r="E202" s="1" t="n">
        <v>46309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11.5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46309</v>
      </c>
      <c r="F203" t="inlineStr">
        <is>
          <t>VÄSTERBOTTENS LÄN</t>
        </is>
      </c>
      <c r="G203" t="inlineStr">
        <is>
          <t>MALÅ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46309</v>
      </c>
      <c r="F204" t="inlineStr">
        <is>
          <t>VÄSTERBOTTENS LÄN</t>
        </is>
      </c>
      <c r="G204" t="inlineStr">
        <is>
          <t>MALÅ</t>
        </is>
      </c>
      <c r="I204" t="n">
        <v>13.3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46309</v>
      </c>
      <c r="F205" t="inlineStr">
        <is>
          <t>VÄSTERBOTTENS LÄN</t>
        </is>
      </c>
      <c r="G205" t="inlineStr">
        <is>
          <t>MALÅ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50504-2024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45601</v>
      </c>
      <c r="E206" s="1" t="n">
        <v>46309</v>
      </c>
      <c r="F206" t="inlineStr">
        <is>
          <t>VÄSTERBOTTENS LÄN</t>
        </is>
      </c>
      <c r="G206" t="inlineStr">
        <is>
          <t>MALÅ</t>
        </is>
      </c>
      <c r="H206" t="inlineStr">
        <is>
          <t>SCA</t>
        </is>
      </c>
      <c r="I206" t="n">
        <v>25.9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40607-2023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46309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45601</v>
      </c>
      <c r="E208" s="1" t="n">
        <v>46309</v>
      </c>
      <c r="F208" t="inlineStr">
        <is>
          <t>VÄSTERBOTTENS LÄN</t>
        </is>
      </c>
      <c r="G208" t="inlineStr">
        <is>
          <t>MALÅ</t>
        </is>
      </c>
      <c r="H208" t="inlineStr">
        <is>
          <t>SCA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45645</v>
      </c>
      <c r="E209" s="1" t="n">
        <v>46309</v>
      </c>
      <c r="F209" t="inlineStr">
        <is>
          <t>VÄSTERBOTTENS LÄN</t>
        </is>
      </c>
      <c r="G209" t="inlineStr">
        <is>
          <t>MALÅ</t>
        </is>
      </c>
      <c r="H209" t="inlineStr">
        <is>
          <t>Sveaskog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45190</v>
      </c>
      <c r="E210" s="1" t="n">
        <v>46309</v>
      </c>
      <c r="F210" t="inlineStr">
        <is>
          <t>VÄSTERBOTTENS LÄN</t>
        </is>
      </c>
      <c r="G210" t="inlineStr">
        <is>
          <t>MALÅ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36742-2023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45153</v>
      </c>
      <c r="E211" s="1" t="n">
        <v>46309</v>
      </c>
      <c r="F211" t="inlineStr">
        <is>
          <t>VÄSTERBOTTENS LÄN</t>
        </is>
      </c>
      <c r="G211" t="inlineStr">
        <is>
          <t>MALÅ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46309</v>
      </c>
      <c r="F212" t="inlineStr">
        <is>
          <t>VÄSTERBOTTENS LÄN</t>
        </is>
      </c>
      <c r="G212" t="inlineStr">
        <is>
          <t>MALÅ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46377-2023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46309</v>
      </c>
      <c r="F213" t="inlineStr">
        <is>
          <t>VÄSTERBOTTENS LÄN</t>
        </is>
      </c>
      <c r="G213" t="inlineStr">
        <is>
          <t>MALÅ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45193</v>
      </c>
      <c r="E214" s="1" t="n">
        <v>46309</v>
      </c>
      <c r="F214" t="inlineStr">
        <is>
          <t>VÄSTERBOTTENS LÄN</t>
        </is>
      </c>
      <c r="G214" t="inlineStr">
        <is>
          <t>MALÅ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45902</v>
      </c>
      <c r="E215" s="1" t="n">
        <v>46309</v>
      </c>
      <c r="F215" t="inlineStr">
        <is>
          <t>VÄSTERBOTTENS LÄN</t>
        </is>
      </c>
      <c r="G215" t="inlineStr">
        <is>
          <t>MALÅ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42383-2023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46309</v>
      </c>
      <c r="F216" t="inlineStr">
        <is>
          <t>VÄSTERBOTTENS LÄN</t>
        </is>
      </c>
      <c r="G216" t="inlineStr">
        <is>
          <t>MALÅ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46309</v>
      </c>
      <c r="F217" t="inlineStr">
        <is>
          <t>VÄSTERBOTTENS LÄN</t>
        </is>
      </c>
      <c r="G217" t="inlineStr">
        <is>
          <t>MALÅ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46309</v>
      </c>
      <c r="F218" t="inlineStr">
        <is>
          <t>VÄSTERBOTTENS LÄN</t>
        </is>
      </c>
      <c r="G218" t="inlineStr">
        <is>
          <t>MALÅ</t>
        </is>
      </c>
      <c r="I218" t="n">
        <v>10.5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45646</v>
      </c>
      <c r="E219" s="1" t="n">
        <v>46309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49013-2023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46309</v>
      </c>
      <c r="F220" t="inlineStr">
        <is>
          <t>VÄSTERBOTTENS LÄN</t>
        </is>
      </c>
      <c r="G220" t="inlineStr">
        <is>
          <t>MALÅ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45744-2023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45193</v>
      </c>
      <c r="E221" s="1" t="n">
        <v>46309</v>
      </c>
      <c r="F221" t="inlineStr">
        <is>
          <t>VÄSTERBOTTENS LÄN</t>
        </is>
      </c>
      <c r="G221" t="inlineStr">
        <is>
          <t>MALÅ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56663-2024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46309</v>
      </c>
      <c r="F222" t="inlineStr">
        <is>
          <t>VÄSTERBOTTENS LÄN</t>
        </is>
      </c>
      <c r="G222" t="inlineStr">
        <is>
          <t>MALÅ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45148</v>
      </c>
      <c r="E223" s="1" t="n">
        <v>46309</v>
      </c>
      <c r="F223" t="inlineStr">
        <is>
          <t>VÄSTERBOTTENS LÄN</t>
        </is>
      </c>
      <c r="G223" t="inlineStr">
        <is>
          <t>MALÅ</t>
        </is>
      </c>
      <c r="I223" t="n">
        <v>16.2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45195</v>
      </c>
      <c r="E224" s="1" t="n">
        <v>46309</v>
      </c>
      <c r="F224" t="inlineStr">
        <is>
          <t>VÄSTERBOTTENS LÄN</t>
        </is>
      </c>
      <c r="G224" t="inlineStr">
        <is>
          <t>MALÅ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45153</v>
      </c>
      <c r="E225" s="1" t="n">
        <v>46309</v>
      </c>
      <c r="F225" t="inlineStr">
        <is>
          <t>VÄSTERBOTTENS LÄN</t>
        </is>
      </c>
      <c r="G225" t="inlineStr">
        <is>
          <t>MALÅ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48348-2023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46309</v>
      </c>
      <c r="F226" t="inlineStr">
        <is>
          <t>VÄSTERBOTTENS LÄN</t>
        </is>
      </c>
      <c r="G226" t="inlineStr">
        <is>
          <t>MALÅ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45700</v>
      </c>
      <c r="E227" s="1" t="n">
        <v>46309</v>
      </c>
      <c r="F227" t="inlineStr">
        <is>
          <t>VÄSTERBOTTENS LÄN</t>
        </is>
      </c>
      <c r="G227" t="inlineStr">
        <is>
          <t>MALÅ</t>
        </is>
      </c>
      <c r="H227" t="inlineStr">
        <is>
          <t>SCA</t>
        </is>
      </c>
      <c r="I227" t="n">
        <v>10.2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32767-2024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45516</v>
      </c>
      <c r="E228" s="1" t="n">
        <v>46309</v>
      </c>
      <c r="F228" t="inlineStr">
        <is>
          <t>VÄSTERBOTTENS LÄN</t>
        </is>
      </c>
      <c r="G228" t="inlineStr">
        <is>
          <t>MALÅ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45189</v>
      </c>
      <c r="E229" s="1" t="n">
        <v>46309</v>
      </c>
      <c r="F229" t="inlineStr">
        <is>
          <t>VÄSTERBOTTENS LÄN</t>
        </is>
      </c>
      <c r="G229" t="inlineStr">
        <is>
          <t>MALÅ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54463-2023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45232</v>
      </c>
      <c r="E230" s="1" t="n">
        <v>46309</v>
      </c>
      <c r="F230" t="inlineStr">
        <is>
          <t>VÄSTERBOTTENS LÄN</t>
        </is>
      </c>
      <c r="G230" t="inlineStr">
        <is>
          <t>MALÅ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46309</v>
      </c>
      <c r="F231" t="inlineStr">
        <is>
          <t>VÄSTERBOTTENS LÄN</t>
        </is>
      </c>
      <c r="G231" t="inlineStr">
        <is>
          <t>MALÅ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45167</v>
      </c>
      <c r="E232" s="1" t="n">
        <v>46309</v>
      </c>
      <c r="F232" t="inlineStr">
        <is>
          <t>VÄSTERBOTTENS LÄN</t>
        </is>
      </c>
      <c r="G232" t="inlineStr">
        <is>
          <t>MALÅ</t>
        </is>
      </c>
      <c r="I232" t="n">
        <v>10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39304-2023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46309</v>
      </c>
      <c r="F233" t="inlineStr">
        <is>
          <t>VÄSTERBOTTENS LÄN</t>
        </is>
      </c>
      <c r="G233" t="inlineStr">
        <is>
          <t>MALÅ</t>
        </is>
      </c>
      <c r="H233" t="inlineStr">
        <is>
          <t>Kyrkan</t>
        </is>
      </c>
      <c r="I233" t="n">
        <v>27.3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45166</v>
      </c>
      <c r="E234" s="1" t="n">
        <v>46309</v>
      </c>
      <c r="F234" t="inlineStr">
        <is>
          <t>VÄSTERBOTTENS LÄN</t>
        </is>
      </c>
      <c r="G234" t="inlineStr">
        <is>
          <t>MALÅ</t>
        </is>
      </c>
      <c r="H234" t="inlineStr">
        <is>
          <t>Kyrkan</t>
        </is>
      </c>
      <c r="I234" t="n">
        <v>84.5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46309</v>
      </c>
      <c r="F235" t="inlineStr">
        <is>
          <t>VÄSTERBOTTENS LÄN</t>
        </is>
      </c>
      <c r="G235" t="inlineStr">
        <is>
          <t>MALÅ</t>
        </is>
      </c>
      <c r="I235" t="n">
        <v>13.3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38999-2023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45162</v>
      </c>
      <c r="E236" s="1" t="n">
        <v>46309</v>
      </c>
      <c r="F236" t="inlineStr">
        <is>
          <t>VÄSTERBOTTENS LÄN</t>
        </is>
      </c>
      <c r="G236" t="inlineStr">
        <is>
          <t>MALÅ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46309</v>
      </c>
      <c r="F237" t="inlineStr">
        <is>
          <t>VÄSTERBOTTENS LÄN</t>
        </is>
      </c>
      <c r="G237" t="inlineStr">
        <is>
          <t>MALÅ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45174</v>
      </c>
      <c r="E238" s="1" t="n">
        <v>46309</v>
      </c>
      <c r="F238" t="inlineStr">
        <is>
          <t>VÄSTERBOTTENS LÄN</t>
        </is>
      </c>
      <c r="G238" t="inlineStr">
        <is>
          <t>MALÅ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46309</v>
      </c>
      <c r="F239" t="inlineStr">
        <is>
          <t>VÄSTERBOTTENS LÄN</t>
        </is>
      </c>
      <c r="G239" t="inlineStr">
        <is>
          <t>MALÅ</t>
        </is>
      </c>
      <c r="I239" t="n">
        <v>147.1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46309</v>
      </c>
      <c r="F240" t="inlineStr">
        <is>
          <t>VÄSTERBOTTENS LÄN</t>
        </is>
      </c>
      <c r="G240" t="inlineStr">
        <is>
          <t>MALÅ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45229</v>
      </c>
      <c r="E241" s="1" t="n">
        <v>46309</v>
      </c>
      <c r="F241" t="inlineStr">
        <is>
          <t>VÄSTERBOTTENS LÄN</t>
        </is>
      </c>
      <c r="G241" t="inlineStr">
        <is>
          <t>MALÅ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46309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26998-2026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46309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46309</v>
      </c>
      <c r="F244" t="inlineStr">
        <is>
          <t>VÄSTERBOTTENS LÄN</t>
        </is>
      </c>
      <c r="G244" t="inlineStr">
        <is>
          <t>MALÅ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46309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46309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46309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10.1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46309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46309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27474-2026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46309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46309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23.5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10843-2024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45369</v>
      </c>
      <c r="E252" s="1" t="n">
        <v>46309</v>
      </c>
      <c r="F252" t="inlineStr">
        <is>
          <t>VÄSTERBOTTENS LÄN</t>
        </is>
      </c>
      <c r="G252" t="inlineStr">
        <is>
          <t>MALÅ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46196</v>
      </c>
      <c r="E253" s="1" t="n">
        <v>46309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29025-2026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46309</v>
      </c>
      <c r="F254" t="inlineStr">
        <is>
          <t>VÄSTERBOTTENS LÄN</t>
        </is>
      </c>
      <c r="G254" t="inlineStr">
        <is>
          <t>MALÅ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45694</v>
      </c>
      <c r="E255" s="1" t="n">
        <v>46309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1947-2022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44575</v>
      </c>
      <c r="E256" s="1" t="n">
        <v>46309</v>
      </c>
      <c r="F256" t="inlineStr">
        <is>
          <t>VÄSTERBOTTENS LÄN</t>
        </is>
      </c>
      <c r="G256" t="inlineStr">
        <is>
          <t>MALÅ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46309</v>
      </c>
      <c r="F257" t="inlineStr">
        <is>
          <t>VÄSTERBOTTENS LÄN</t>
        </is>
      </c>
      <c r="G257" t="inlineStr">
        <is>
          <t>MALÅ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42410-2023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46309</v>
      </c>
      <c r="F258" t="inlineStr">
        <is>
          <t>VÄSTERBOTTENS LÄN</t>
        </is>
      </c>
      <c r="G258" t="inlineStr">
        <is>
          <t>MALÅ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44967</v>
      </c>
      <c r="E259" s="1" t="n">
        <v>46309</v>
      </c>
      <c r="F259" t="inlineStr">
        <is>
          <t>VÄSTERBOTTENS LÄN</t>
        </is>
      </c>
      <c r="G259" t="inlineStr">
        <is>
          <t>MALÅ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40019-2023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46309</v>
      </c>
      <c r="F260" t="inlineStr">
        <is>
          <t>VÄSTERBOTTENS LÄN</t>
        </is>
      </c>
      <c r="G260" t="inlineStr">
        <is>
          <t>MALÅ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46309</v>
      </c>
      <c r="F261" t="inlineStr">
        <is>
          <t>VÄSTERBOTTENS LÄN</t>
        </is>
      </c>
      <c r="G261" t="inlineStr">
        <is>
          <t>MALÅ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46309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45646</v>
      </c>
      <c r="E263" s="1" t="n">
        <v>46309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46309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37.2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45229</v>
      </c>
      <c r="E265" s="1" t="n">
        <v>46309</v>
      </c>
      <c r="F265" t="inlineStr">
        <is>
          <t>VÄSTERBOTTENS LÄN</t>
        </is>
      </c>
      <c r="G265" t="inlineStr">
        <is>
          <t>MALÅ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30502-2026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46210</v>
      </c>
      <c r="E266" s="1" t="n">
        <v>46309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46309</v>
      </c>
      <c r="F267" t="inlineStr">
        <is>
          <t>VÄSTERBOTTENS LÄN</t>
        </is>
      </c>
      <c r="G267" t="inlineStr">
        <is>
          <t>MALÅ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39153-2023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45166</v>
      </c>
      <c r="E268" s="1" t="n">
        <v>46309</v>
      </c>
      <c r="F268" t="inlineStr">
        <is>
          <t>VÄSTERBOTTENS LÄN</t>
        </is>
      </c>
      <c r="G268" t="inlineStr">
        <is>
          <t>MALÅ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68036-2021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44525</v>
      </c>
      <c r="E269" s="1" t="n">
        <v>46309</v>
      </c>
      <c r="F269" t="inlineStr">
        <is>
          <t>VÄSTERBOTTENS LÄN</t>
        </is>
      </c>
      <c r="G269" t="inlineStr">
        <is>
          <t>MALÅ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46309</v>
      </c>
      <c r="F270" t="inlineStr">
        <is>
          <t>VÄSTERBOTTENS LÄN</t>
        </is>
      </c>
      <c r="G270" t="inlineStr">
        <is>
          <t>MALÅ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37535-2023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45158</v>
      </c>
      <c r="E271" s="1" t="n">
        <v>46309</v>
      </c>
      <c r="F271" t="inlineStr">
        <is>
          <t>VÄSTERBOTTENS LÄN</t>
        </is>
      </c>
      <c r="G271" t="inlineStr">
        <is>
          <t>MALÅ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45154</v>
      </c>
      <c r="E272" s="1" t="n">
        <v>46309</v>
      </c>
      <c r="F272" t="inlineStr">
        <is>
          <t>VÄSTERBOTTENS LÄN</t>
        </is>
      </c>
      <c r="G272" t="inlineStr">
        <is>
          <t>MALÅ</t>
        </is>
      </c>
      <c r="I272" t="n">
        <v>41.2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46223</v>
      </c>
      <c r="E273" s="1" t="n">
        <v>46309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31535-2026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46223</v>
      </c>
      <c r="E274" s="1" t="n">
        <v>46309</v>
      </c>
      <c r="F274" t="inlineStr">
        <is>
          <t>VÄSTERBOTTENS LÄN</t>
        </is>
      </c>
      <c r="G274" t="inlineStr">
        <is>
          <t>MALÅ</t>
        </is>
      </c>
      <c r="H274" t="inlineStr">
        <is>
          <t>SCA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44641</v>
      </c>
      <c r="E275" s="1" t="n">
        <v>46309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26853-2026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46185</v>
      </c>
      <c r="E276" s="1" t="n">
        <v>46309</v>
      </c>
      <c r="F276" t="inlineStr">
        <is>
          <t>VÄSTERBOTTENS LÄN</t>
        </is>
      </c>
      <c r="G276" t="inlineStr">
        <is>
          <t>MALÅ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45170</v>
      </c>
      <c r="E277" s="1" t="n">
        <v>46309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23.4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45736</v>
      </c>
      <c r="E278" s="1" t="n">
        <v>46309</v>
      </c>
      <c r="F278" t="inlineStr">
        <is>
          <t>VÄSTERBOTTENS LÄN</t>
        </is>
      </c>
      <c r="G278" t="inlineStr">
        <is>
          <t>MALÅ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40822-2023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45171</v>
      </c>
      <c r="E279" s="1" t="n">
        <v>46309</v>
      </c>
      <c r="F279" t="inlineStr">
        <is>
          <t>VÄSTERBOTTENS LÄN</t>
        </is>
      </c>
      <c r="G279" t="inlineStr">
        <is>
          <t>MALÅ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45184</v>
      </c>
      <c r="E280" s="1" t="n">
        <v>46309</v>
      </c>
      <c r="F280" t="inlineStr">
        <is>
          <t>VÄSTERBOTTENS LÄN</t>
        </is>
      </c>
      <c r="G280" t="inlineStr">
        <is>
          <t>MALÅ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45168</v>
      </c>
      <c r="E281" s="1" t="n">
        <v>46309</v>
      </c>
      <c r="F281" t="inlineStr">
        <is>
          <t>VÄSTERBOTTENS LÄN</t>
        </is>
      </c>
      <c r="G281" t="inlineStr">
        <is>
          <t>MALÅ</t>
        </is>
      </c>
      <c r="I281" t="n">
        <v>27.9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46309</v>
      </c>
      <c r="F282" t="inlineStr">
        <is>
          <t>VÄSTERBOTTENS LÄN</t>
        </is>
      </c>
      <c r="G282" t="inlineStr">
        <is>
          <t>MALÅ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46309</v>
      </c>
      <c r="F283" t="inlineStr">
        <is>
          <t>VÄSTERBOTTENS LÄN</t>
        </is>
      </c>
      <c r="G283" t="inlineStr">
        <is>
          <t>MALÅ</t>
        </is>
      </c>
      <c r="I283" t="n">
        <v>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37629-2026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46276</v>
      </c>
      <c r="E284" s="1" t="n">
        <v>46309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45236</v>
      </c>
      <c r="E285" s="1" t="n">
        <v>46309</v>
      </c>
      <c r="F285" t="inlineStr">
        <is>
          <t>VÄSTERBOTTENS LÄN</t>
        </is>
      </c>
      <c r="G285" t="inlineStr">
        <is>
          <t>MALÅ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46309</v>
      </c>
      <c r="F286" t="inlineStr">
        <is>
          <t>VÄSTERBOTTENS LÄN</t>
        </is>
      </c>
      <c r="G286" t="inlineStr">
        <is>
          <t>MALÅ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46309</v>
      </c>
      <c r="F287" t="inlineStr">
        <is>
          <t>VÄSTERBOTTENS LÄN</t>
        </is>
      </c>
      <c r="G287" t="inlineStr">
        <is>
          <t>MALÅ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46276</v>
      </c>
      <c r="E288" s="1" t="n">
        <v>46309</v>
      </c>
      <c r="F288" t="inlineStr">
        <is>
          <t>VÄSTERBOTTENS LÄN</t>
        </is>
      </c>
      <c r="G288" t="inlineStr">
        <is>
          <t>MALÅ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46276</v>
      </c>
      <c r="E289" s="1" t="n">
        <v>46309</v>
      </c>
      <c r="F289" t="inlineStr">
        <is>
          <t>VÄSTERBOTTENS LÄN</t>
        </is>
      </c>
      <c r="G289" t="inlineStr">
        <is>
          <t>MALÅ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46232</v>
      </c>
      <c r="E290" s="1" t="n">
        <v>46309</v>
      </c>
      <c r="F290" t="inlineStr">
        <is>
          <t>VÄSTERBOTTENS LÄN</t>
        </is>
      </c>
      <c r="G290" t="inlineStr">
        <is>
          <t>MALÅ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37867-2026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46279</v>
      </c>
      <c r="E291" s="1" t="n">
        <v>46309</v>
      </c>
      <c r="F291" t="inlineStr">
        <is>
          <t>VÄSTERBOTTENS LÄN</t>
        </is>
      </c>
      <c r="G291" t="inlineStr">
        <is>
          <t>MALÅ</t>
        </is>
      </c>
      <c r="H291" t="inlineStr">
        <is>
          <t>SCA</t>
        </is>
      </c>
      <c r="I291" t="n">
        <v>10.5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46309</v>
      </c>
      <c r="F292" t="inlineStr">
        <is>
          <t>VÄSTERBOTTENS LÄN</t>
        </is>
      </c>
      <c r="G292" t="inlineStr">
        <is>
          <t>MALÅ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44426-2023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45188</v>
      </c>
      <c r="E293" s="1" t="n">
        <v>46309</v>
      </c>
      <c r="F293" t="inlineStr">
        <is>
          <t>VÄSTERBOTTENS LÄN</t>
        </is>
      </c>
      <c r="G293" t="inlineStr">
        <is>
          <t>MALÅ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41792-2023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45176</v>
      </c>
      <c r="E294" s="1" t="n">
        <v>46309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39148-2023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46309</v>
      </c>
      <c r="F295" t="inlineStr">
        <is>
          <t>VÄSTERBOTTENS LÄN</t>
        </is>
      </c>
      <c r="G295" t="inlineStr">
        <is>
          <t>MALÅ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46309</v>
      </c>
      <c r="F296" t="inlineStr">
        <is>
          <t>VÄSTERBOTTENS LÄN</t>
        </is>
      </c>
      <c r="G296" t="inlineStr">
        <is>
          <t>MALÅ</t>
        </is>
      </c>
      <c r="I296" t="n">
        <v>11.4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67679-2021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46309</v>
      </c>
      <c r="F297" t="inlineStr">
        <is>
          <t>VÄSTERBOTTENS LÄN</t>
        </is>
      </c>
      <c r="G297" t="inlineStr">
        <is>
          <t>MALÅ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40588-2023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45170</v>
      </c>
      <c r="E298" s="1" t="n">
        <v>46309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45625</v>
      </c>
      <c r="E299" s="1" t="n">
        <v>46309</v>
      </c>
      <c r="F299" t="inlineStr">
        <is>
          <t>VÄSTERBOTTENS LÄN</t>
        </is>
      </c>
      <c r="G299" t="inlineStr">
        <is>
          <t>MALÅ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49011-2023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45204</v>
      </c>
      <c r="E300" s="1" t="n">
        <v>46309</v>
      </c>
      <c r="F300" t="inlineStr">
        <is>
          <t>VÄSTERBOTTENS LÄN</t>
        </is>
      </c>
      <c r="G300" t="inlineStr">
        <is>
          <t>MALÅ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56997-2023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45244</v>
      </c>
      <c r="E301" s="1" t="n">
        <v>46309</v>
      </c>
      <c r="F301" t="inlineStr">
        <is>
          <t>VÄSTERBOTTENS LÄN</t>
        </is>
      </c>
      <c r="G301" t="inlineStr">
        <is>
          <t>MALÅ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60624-2024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45642</v>
      </c>
      <c r="E302" s="1" t="n">
        <v>46309</v>
      </c>
      <c r="F302" t="inlineStr">
        <is>
          <t>VÄSTERBOTTENS LÄN</t>
        </is>
      </c>
      <c r="G302" t="inlineStr">
        <is>
          <t>MALÅ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46309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49226-2024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45595</v>
      </c>
      <c r="E304" s="1" t="n">
        <v>46309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37181-2023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46309</v>
      </c>
      <c r="F305" t="inlineStr">
        <is>
          <t>VÄSTERBOTTENS LÄN</t>
        </is>
      </c>
      <c r="G305" t="inlineStr">
        <is>
          <t>MALÅ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45233</v>
      </c>
      <c r="E306" s="1" t="n">
        <v>46309</v>
      </c>
      <c r="F306" t="inlineStr">
        <is>
          <t>VÄSTERBOTTENS LÄN</t>
        </is>
      </c>
      <c r="G306" t="inlineStr">
        <is>
          <t>MALÅ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42183-2023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45178</v>
      </c>
      <c r="E307" s="1" t="n">
        <v>46309</v>
      </c>
      <c r="F307" t="inlineStr">
        <is>
          <t>VÄSTERBOTTENS LÄN</t>
        </is>
      </c>
      <c r="G307" t="inlineStr">
        <is>
          <t>MALÅ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46309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45210</v>
      </c>
      <c r="E309" s="1" t="n">
        <v>46309</v>
      </c>
      <c r="F309" t="inlineStr">
        <is>
          <t>VÄSTERBOTTENS LÄN</t>
        </is>
      </c>
      <c r="G309" t="inlineStr">
        <is>
          <t>MALÅ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35712-2026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46265</v>
      </c>
      <c r="E310" s="1" t="n">
        <v>46309</v>
      </c>
      <c r="F310" t="inlineStr">
        <is>
          <t>VÄSTERBOTTENS LÄN</t>
        </is>
      </c>
      <c r="G310" t="inlineStr">
        <is>
          <t>MALÅ</t>
        </is>
      </c>
      <c r="H310" t="inlineStr">
        <is>
          <t>SCA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55507-2024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45622</v>
      </c>
      <c r="E311" s="1" t="n">
        <v>46309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45227</v>
      </c>
      <c r="E312" s="1" t="n">
        <v>46309</v>
      </c>
      <c r="F312" t="inlineStr">
        <is>
          <t>VÄSTERBOTTENS LÄN</t>
        </is>
      </c>
      <c r="G312" t="inlineStr">
        <is>
          <t>MALÅ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39538-2026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46289</v>
      </c>
      <c r="E313" s="1" t="n">
        <v>46309</v>
      </c>
      <c r="F313" t="inlineStr">
        <is>
          <t>VÄSTERBOTTENS LÄN</t>
        </is>
      </c>
      <c r="G313" t="inlineStr">
        <is>
          <t>MALÅ</t>
        </is>
      </c>
      <c r="H313" t="inlineStr">
        <is>
          <t>SCA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46289</v>
      </c>
      <c r="E314" s="1" t="n">
        <v>46309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39657-2026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46289</v>
      </c>
      <c r="E315" s="1" t="n">
        <v>46309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58893-2025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45987</v>
      </c>
      <c r="E316" s="1" t="n">
        <v>46309</v>
      </c>
      <c r="F316" t="inlineStr">
        <is>
          <t>VÄSTERBOTTENS LÄN</t>
        </is>
      </c>
      <c r="G316" t="inlineStr">
        <is>
          <t>MALÅ</t>
        </is>
      </c>
      <c r="I316" t="n">
        <v>19.2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41126-2023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45173</v>
      </c>
      <c r="E317" s="1" t="n">
        <v>46309</v>
      </c>
      <c r="F317" t="inlineStr">
        <is>
          <t>VÄSTERBOTTENS LÄN</t>
        </is>
      </c>
      <c r="G317" t="inlineStr">
        <is>
          <t>MALÅ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46309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33543-2026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46248</v>
      </c>
      <c r="E319" s="1" t="n">
        <v>46309</v>
      </c>
      <c r="F319" t="inlineStr">
        <is>
          <t>VÄSTERBOTTENS LÄN</t>
        </is>
      </c>
      <c r="G319" t="inlineStr">
        <is>
          <t>MALÅ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33230-2026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46246</v>
      </c>
      <c r="E320" s="1" t="n">
        <v>46309</v>
      </c>
      <c r="F320" t="inlineStr">
        <is>
          <t>VÄSTERBOTTENS LÄN</t>
        </is>
      </c>
      <c r="G320" t="inlineStr">
        <is>
          <t>MALÅ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45219</v>
      </c>
      <c r="E321" s="1" t="n">
        <v>46309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39639-2026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46309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51573-2023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46309</v>
      </c>
      <c r="F323" t="inlineStr">
        <is>
          <t>VÄSTERBOTTENS LÄN</t>
        </is>
      </c>
      <c r="G323" t="inlineStr">
        <is>
          <t>MALÅ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1207-2026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46309</v>
      </c>
      <c r="F324" t="inlineStr">
        <is>
          <t>VÄSTERBOTTENS LÄN</t>
        </is>
      </c>
      <c r="G324" t="inlineStr">
        <is>
          <t>MALÅ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46309</v>
      </c>
      <c r="F325" t="inlineStr">
        <is>
          <t>VÄSTERBOTTENS LÄN</t>
        </is>
      </c>
      <c r="G325" t="inlineStr">
        <is>
          <t>MALÅ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45111</v>
      </c>
      <c r="E326" s="1" t="n">
        <v>46309</v>
      </c>
      <c r="F326" t="inlineStr">
        <is>
          <t>VÄSTERBOTTENS LÄN</t>
        </is>
      </c>
      <c r="G326" t="inlineStr">
        <is>
          <t>MALÅ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41567-2023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45175</v>
      </c>
      <c r="E327" s="1" t="n">
        <v>46309</v>
      </c>
      <c r="F327" t="inlineStr">
        <is>
          <t>VÄSTERBOTTENS LÄN</t>
        </is>
      </c>
      <c r="G327" t="inlineStr">
        <is>
          <t>MALÅ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46251</v>
      </c>
      <c r="E328" s="1" t="n">
        <v>46309</v>
      </c>
      <c r="F328" t="inlineStr">
        <is>
          <t>VÄSTERBOTTENS LÄN</t>
        </is>
      </c>
      <c r="G328" t="inlineStr">
        <is>
          <t>MALÅ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37897-2023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45159</v>
      </c>
      <c r="E329" s="1" t="n">
        <v>46309</v>
      </c>
      <c r="F329" t="inlineStr">
        <is>
          <t>VÄSTERBOTTENS LÄN</t>
        </is>
      </c>
      <c r="G329" t="inlineStr">
        <is>
          <t>MALÅ</t>
        </is>
      </c>
      <c r="I329" t="n">
        <v>30.4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34247-2026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46253</v>
      </c>
      <c r="E330" s="1" t="n">
        <v>46309</v>
      </c>
      <c r="F330" t="inlineStr">
        <is>
          <t>VÄSTERBOTTENS LÄN</t>
        </is>
      </c>
      <c r="G330" t="inlineStr">
        <is>
          <t>MALÅ</t>
        </is>
      </c>
      <c r="H330" t="inlineStr">
        <is>
          <t>Sveaskog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46253</v>
      </c>
      <c r="E331" s="1" t="n">
        <v>46309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8.800000000000001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45636</v>
      </c>
      <c r="E332" s="1" t="n">
        <v>46309</v>
      </c>
      <c r="F332" t="inlineStr">
        <is>
          <t>VÄSTERBOTTENS LÄN</t>
        </is>
      </c>
      <c r="G332" t="inlineStr">
        <is>
          <t>MALÅ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29450-2024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46309</v>
      </c>
      <c r="F333" t="inlineStr">
        <is>
          <t>VÄSTERBOTTENS LÄN</t>
        </is>
      </c>
      <c r="G333" t="inlineStr">
        <is>
          <t>MALÅ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46253</v>
      </c>
      <c r="E334" s="1" t="n">
        <v>46309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46253</v>
      </c>
      <c r="E335" s="1" t="n">
        <v>46309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13.7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34249-2026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46253</v>
      </c>
      <c r="E336" s="1" t="n">
        <v>46309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36695-2023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45152</v>
      </c>
      <c r="E337" s="1" t="n">
        <v>46309</v>
      </c>
      <c r="F337" t="inlineStr">
        <is>
          <t>VÄSTERBOTTENS LÄN</t>
        </is>
      </c>
      <c r="G337" t="inlineStr">
        <is>
          <t>MALÅ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46309</v>
      </c>
      <c r="F338" t="inlineStr">
        <is>
          <t>VÄSTERBOTTENS LÄN</t>
        </is>
      </c>
      <c r="G338" t="inlineStr">
        <is>
          <t>MALÅ</t>
        </is>
      </c>
      <c r="I338" t="n">
        <v>9.4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45987</v>
      </c>
      <c r="E339" s="1" t="n">
        <v>46309</v>
      </c>
      <c r="F339" t="inlineStr">
        <is>
          <t>VÄSTERBOTTENS LÄN</t>
        </is>
      </c>
      <c r="G339" t="inlineStr">
        <is>
          <t>MALÅ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33240-2026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46246</v>
      </c>
      <c r="E340" s="1" t="n">
        <v>46309</v>
      </c>
      <c r="F340" t="inlineStr">
        <is>
          <t>VÄSTERBOTTENS LÄN</t>
        </is>
      </c>
      <c r="G340" t="inlineStr">
        <is>
          <t>MALÅ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46253</v>
      </c>
      <c r="E341" s="1" t="n">
        <v>46309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18.4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35183-2026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46260</v>
      </c>
      <c r="E342" s="1" t="n">
        <v>46309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45867</v>
      </c>
      <c r="E343" s="1" t="n">
        <v>46309</v>
      </c>
      <c r="F343" t="inlineStr">
        <is>
          <t>VÄSTERBOTTENS LÄN</t>
        </is>
      </c>
      <c r="G343" t="inlineStr">
        <is>
          <t>MALÅ</t>
        </is>
      </c>
      <c r="I343" t="n">
        <v>8.300000000000001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894-2022</t>
        </is>
      </c>
      <c r="B344" t="inlineStr">
        <is>
          <t>samrådsanmälan</t>
        </is>
      </c>
      <c r="C344" t="inlineStr">
        <is>
          <t>Skogsgödsling</t>
        </is>
      </c>
      <c r="D344" s="1" t="n">
        <v>44607</v>
      </c>
      <c r="E344" s="1" t="n">
        <v>46309</v>
      </c>
      <c r="F344" t="inlineStr">
        <is>
          <t>VÄSTERBOTTENS LÄN</t>
        </is>
      </c>
      <c r="G344" t="inlineStr">
        <is>
          <t>MALÅ</t>
        </is>
      </c>
      <c r="H344" t="inlineStr">
        <is>
          <t>SCA</t>
        </is>
      </c>
      <c r="I344" t="n">
        <v>86.3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2026-10-14T02:01:49Z</dcterms:created>
  <dcterms:modified xmlns:dcterms="http://purl.org/dc/terms/" xmlns:xsi="http://www.w3.org/2001/XMLSchema-instance" xsi:type="dcterms:W3CDTF">2026-10-14T02:01:50Z</dcterms:modified>
</cp:coreProperties>
</file>