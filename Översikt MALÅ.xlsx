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46218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s="2" t="inlineStr">
        <is>
          <t>Blå taggsvamp
Dropptaggsvamp
Kolflarnlav
Orange taggsvamp
Skarp dropptaggsvamp</t>
        </is>
      </c>
      <c r="V2">
        <f>HYPERLINK("https://klasma.github.io/Logging_2418/artfynd/A 41330-2024 artfynd.xlsx", "A 41330-2024")</f>
        <v/>
      </c>
      <c r="W2">
        <f>HYPERLINK("https://klasma.github.io/Logging_2418/kartor/A 41330-2024 karta.png", "A 41330-2024")</f>
        <v/>
      </c>
      <c r="Y2">
        <f>HYPERLINK("https://klasma.github.io/Logging_2418/klagomål/A 41330-2024 FSC-klagomål.docx", "A 41330-2024")</f>
        <v/>
      </c>
      <c r="Z2">
        <f>HYPERLINK("https://klasma.github.io/Logging_2418/klagomålsmail/A 41330-2024 FSC-klagomål mail.docx", "A 41330-2024")</f>
        <v/>
      </c>
      <c r="AA2">
        <f>HYPERLINK("https://klasma.github.io/Logging_2418/tillsyn/A 41330-2024 tillsynsbegäran.docx", "A 41330-2024")</f>
        <v/>
      </c>
      <c r="AB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46218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s="2" t="inlineStr">
        <is>
          <t>Blå taggsvamp
Orange taggsvamp
Skarp dropptaggsvamp
Plattlummer</t>
        </is>
      </c>
      <c r="V3">
        <f>HYPERLINK("https://klasma.github.io/Logging_2418/artfynd/A 39692-2024 artfynd.xlsx", "A 39692-2024")</f>
        <v/>
      </c>
      <c r="W3">
        <f>HYPERLINK("https://klasma.github.io/Logging_2418/kartor/A 39692-2024 karta.png", "A 39692-2024")</f>
        <v/>
      </c>
      <c r="Y3">
        <f>HYPERLINK("https://klasma.github.io/Logging_2418/klagomål/A 39692-2024 FSC-klagomål.docx", "A 39692-2024")</f>
        <v/>
      </c>
      <c r="Z3">
        <f>HYPERLINK("https://klasma.github.io/Logging_2418/klagomålsmail/A 39692-2024 FSC-klagomål mail.docx", "A 39692-2024")</f>
        <v/>
      </c>
      <c r="AA3">
        <f>HYPERLINK("https://klasma.github.io/Logging_2418/tillsyn/A 39692-2024 tillsynsbegäran.docx", "A 39692-2024")</f>
        <v/>
      </c>
      <c r="AB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46218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s="2" t="inlineStr">
        <is>
          <t>Garnlav
Ullticka</t>
        </is>
      </c>
      <c r="V4">
        <f>HYPERLINK("https://klasma.github.io/Logging_2418/artfynd/A 51951-2025 artfynd.xlsx", "A 51951-2025")</f>
        <v/>
      </c>
      <c r="W4">
        <f>HYPERLINK("https://klasma.github.io/Logging_2418/kartor/A 51951-2025 karta.png", "A 51951-2025")</f>
        <v/>
      </c>
      <c r="Y4">
        <f>HYPERLINK("https://klasma.github.io/Logging_2418/klagomål/A 51951-2025 FSC-klagomål.docx", "A 51951-2025")</f>
        <v/>
      </c>
      <c r="Z4">
        <f>HYPERLINK("https://klasma.github.io/Logging_2418/klagomålsmail/A 51951-2025 FSC-klagomål mail.docx", "A 51951-2025")</f>
        <v/>
      </c>
      <c r="AA4">
        <f>HYPERLINK("https://klasma.github.io/Logging_2418/tillsyn/A 51951-2025 tillsynsbegäran.docx", "A 51951-2025")</f>
        <v/>
      </c>
      <c r="AB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46218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s="2" t="inlineStr">
        <is>
          <t>Gränsticka
Rosenticka</t>
        </is>
      </c>
      <c r="V5">
        <f>HYPERLINK("https://klasma.github.io/Logging_2418/artfynd/S 3446-2024 artfynd.xlsx", "S 3446-2024")</f>
        <v/>
      </c>
      <c r="W5">
        <f>HYPERLINK("https://klasma.github.io/Logging_2418/kartor/S 3446-2024 karta.png", "S 3446-2024")</f>
        <v/>
      </c>
      <c r="Y5">
        <f>HYPERLINK("https://klasma.github.io/Logging_2418/klagomål/S 3446-2024 FSC-klagomål.docx", "S 3446-2024")</f>
        <v/>
      </c>
      <c r="Z5">
        <f>HYPERLINK("https://klasma.github.io/Logging_2418/klagomålsmail/S 3446-2024 FSC-klagomål mail.docx", "S 3446-2024")</f>
        <v/>
      </c>
      <c r="AA5">
        <f>HYPERLINK("https://klasma.github.io/Logging_2418/tillsyn/S 3446-2024 tillsynsbegäran.docx", "S 3446-2024")</f>
        <v/>
      </c>
      <c r="AB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46218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Norna</t>
        </is>
      </c>
      <c r="V6">
        <f>HYPERLINK("https://klasma.github.io/Logging_2418/artfynd/A 49370-2021 artfynd.xlsx", "A 49370-2021")</f>
        <v/>
      </c>
      <c r="W6">
        <f>HYPERLINK("https://klasma.github.io/Logging_2418/kartor/A 49370-2021 karta.png", "A 49370-2021")</f>
        <v/>
      </c>
      <c r="Y6">
        <f>HYPERLINK("https://klasma.github.io/Logging_2418/klagomål/A 49370-2021 FSC-klagomål.docx", "A 49370-2021")</f>
        <v/>
      </c>
      <c r="Z6">
        <f>HYPERLINK("https://klasma.github.io/Logging_2418/klagomålsmail/A 49370-2021 FSC-klagomål mail.docx", "A 49370-2021")</f>
        <v/>
      </c>
      <c r="AA6">
        <f>HYPERLINK("https://klasma.github.io/Logging_2418/tillsyn/A 49370-2021 tillsynsbegäran.docx", "A 49370-2021")</f>
        <v/>
      </c>
      <c r="AB6">
        <f>HYPERLINK("https://klasma.github.io/Logging_2418/tillsynsmail/A 49370-2021 tillsynsbegäran mail.docx", "A 49370-2021")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46218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Orange taggsvamp</t>
        </is>
      </c>
      <c r="V7">
        <f>HYPERLINK("https://klasma.github.io/Logging_2418/artfynd/A 49040-2025 artfynd.xlsx", "A 49040-2025")</f>
        <v/>
      </c>
      <c r="W7">
        <f>HYPERLINK("https://klasma.github.io/Logging_2418/kartor/A 49040-2025 karta.png", "A 49040-2025")</f>
        <v/>
      </c>
      <c r="Y7">
        <f>HYPERLINK("https://klasma.github.io/Logging_2418/klagomål/A 49040-2025 FSC-klagomål.docx", "A 49040-2025")</f>
        <v/>
      </c>
      <c r="Z7">
        <f>HYPERLINK("https://klasma.github.io/Logging_2418/klagomålsmail/A 49040-2025 FSC-klagomål mail.docx", "A 49040-2025")</f>
        <v/>
      </c>
      <c r="AA7">
        <f>HYPERLINK("https://klasma.github.io/Logging_2418/tillsyn/A 49040-2025 tillsynsbegäran.docx", "A 49040-2025")</f>
        <v/>
      </c>
      <c r="AB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46218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Tallticka</t>
        </is>
      </c>
      <c r="V8">
        <f>HYPERLINK("https://klasma.github.io/Logging_2418/artfynd/A 48895-2025 artfynd.xlsx", "A 48895-2025")</f>
        <v/>
      </c>
      <c r="W8">
        <f>HYPERLINK("https://klasma.github.io/Logging_2418/kartor/A 48895-2025 karta.png", "A 48895-2025")</f>
        <v/>
      </c>
      <c r="Y8">
        <f>HYPERLINK("https://klasma.github.io/Logging_2418/klagomål/A 48895-2025 FSC-klagomål.docx", "A 48895-2025")</f>
        <v/>
      </c>
      <c r="Z8">
        <f>HYPERLINK("https://klasma.github.io/Logging_2418/klagomålsmail/A 48895-2025 FSC-klagomål mail.docx", "A 48895-2025")</f>
        <v/>
      </c>
      <c r="AA8">
        <f>HYPERLINK("https://klasma.github.io/Logging_2418/tillsyn/A 48895-2025 tillsynsbegäran.docx", "A 48895-2025")</f>
        <v/>
      </c>
      <c r="AB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46218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Gammelgransskål</t>
        </is>
      </c>
      <c r="V9">
        <f>HYPERLINK("https://klasma.github.io/Logging_2418/artfynd/A 52129-2024 artfynd.xlsx", "A 52129-2024")</f>
        <v/>
      </c>
      <c r="W9">
        <f>HYPERLINK("https://klasma.github.io/Logging_2418/kartor/A 52129-2024 karta.png", "A 52129-2024")</f>
        <v/>
      </c>
      <c r="Y9">
        <f>HYPERLINK("https://klasma.github.io/Logging_2418/klagomål/A 52129-2024 FSC-klagomål.docx", "A 52129-2024")</f>
        <v/>
      </c>
      <c r="Z9">
        <f>HYPERLINK("https://klasma.github.io/Logging_2418/klagomålsmail/A 52129-2024 FSC-klagomål mail.docx", "A 52129-2024")</f>
        <v/>
      </c>
      <c r="AA9">
        <f>HYPERLINK("https://klasma.github.io/Logging_2418/tillsyn/A 52129-2024 tillsynsbegäran.docx", "A 52129-2024")</f>
        <v/>
      </c>
      <c r="AB9">
        <f>HYPERLINK("https://klasma.github.io/Logging_2418/tillsynsmail/A 52129-2024 tillsynsbegäran mail.docx", "A 52129-2024")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46218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Robust tickgnagare</t>
        </is>
      </c>
      <c r="V10">
        <f>HYPERLINK("https://klasma.github.io/Logging_2418/artfynd/A 41840-2023 artfynd.xlsx", "A 41840-2023")</f>
        <v/>
      </c>
      <c r="W10">
        <f>HYPERLINK("https://klasma.github.io/Logging_2418/kartor/A 41840-2023 karta.png", "A 41840-2023")</f>
        <v/>
      </c>
      <c r="Y10">
        <f>HYPERLINK("https://klasma.github.io/Logging_2418/klagomål/A 41840-2023 FSC-klagomål.docx", "A 41840-2023")</f>
        <v/>
      </c>
      <c r="Z10">
        <f>HYPERLINK("https://klasma.github.io/Logging_2418/klagomålsmail/A 41840-2023 FSC-klagomål mail.docx", "A 41840-2023")</f>
        <v/>
      </c>
      <c r="AA10">
        <f>HYPERLINK("https://klasma.github.io/Logging_2418/tillsyn/A 41840-2023 tillsynsbegäran.docx", "A 41840-2023")</f>
        <v/>
      </c>
      <c r="AB10">
        <f>HYPERLINK("https://klasma.github.io/Logging_2418/tillsynsmail/A 41840-2023 tillsynsbegäran mail.docx", "A 41840-2023")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46218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Grantaggsvamp</t>
        </is>
      </c>
      <c r="V11">
        <f>HYPERLINK("https://klasma.github.io/Logging_2418/artfynd/A 5658-2026 artfynd.xlsx", "A 5658-2026")</f>
        <v/>
      </c>
      <c r="W11">
        <f>HYPERLINK("https://klasma.github.io/Logging_2418/kartor/A 5658-2026 karta.png", "A 5658-2026")</f>
        <v/>
      </c>
      <c r="Y11">
        <f>HYPERLINK("https://klasma.github.io/Logging_2418/klagomål/A 5658-2026 FSC-klagomål.docx", "A 5658-2026")</f>
        <v/>
      </c>
      <c r="Z11">
        <f>HYPERLINK("https://klasma.github.io/Logging_2418/klagomålsmail/A 5658-2026 FSC-klagomål mail.docx", "A 5658-2026")</f>
        <v/>
      </c>
      <c r="AA11">
        <f>HYPERLINK("https://klasma.github.io/Logging_2418/tillsyn/A 5658-2026 tillsynsbegäran.docx", "A 5658-2026")</f>
        <v/>
      </c>
      <c r="AB11">
        <f>HYPERLINK("https://klasma.github.io/Logging_2418/tillsynsmail/A 5658-2026 tillsynsbegäran mail.docx", "A 5658-2026")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46218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46218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46218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46218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46218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46218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44587</v>
      </c>
      <c r="E18" s="1" t="n">
        <v>46218</v>
      </c>
      <c r="F18" t="inlineStr">
        <is>
          <t>VÄSTERBOTTENS LÄN</t>
        </is>
      </c>
      <c r="G18" t="inlineStr">
        <is>
          <t>MALÅ</t>
        </is>
      </c>
      <c r="I18" t="n">
        <v>10.4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46218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45549-2021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44440</v>
      </c>
      <c r="E20" s="1" t="n">
        <v>46218</v>
      </c>
      <c r="F20" t="inlineStr">
        <is>
          <t>VÄSTERBOTTENS LÄN</t>
        </is>
      </c>
      <c r="G20" t="inlineStr">
        <is>
          <t>MALÅ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46218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47434-2023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45197</v>
      </c>
      <c r="E22" s="1" t="n">
        <v>46218</v>
      </c>
      <c r="F22" t="inlineStr">
        <is>
          <t>VÄSTERBOTTENS LÄN</t>
        </is>
      </c>
      <c r="G22" t="inlineStr">
        <is>
          <t>MALÅ</t>
        </is>
      </c>
      <c r="I22" t="n">
        <v>10.9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37785-2023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45159</v>
      </c>
      <c r="E23" s="1" t="n">
        <v>46218</v>
      </c>
      <c r="F23" t="inlineStr">
        <is>
          <t>VÄSTERBOTTENS LÄN</t>
        </is>
      </c>
      <c r="G23" t="inlineStr">
        <is>
          <t>MALÅ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54841-2023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45236</v>
      </c>
      <c r="E24" s="1" t="n">
        <v>46218</v>
      </c>
      <c r="F24" t="inlineStr">
        <is>
          <t>VÄSTERBOTTENS LÄN</t>
        </is>
      </c>
      <c r="G24" t="inlineStr">
        <is>
          <t>MALÅ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6655-2025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45700</v>
      </c>
      <c r="E25" s="1" t="n">
        <v>46218</v>
      </c>
      <c r="F25" t="inlineStr">
        <is>
          <t>VÄSTERBOTTENS LÄN</t>
        </is>
      </c>
      <c r="G25" t="inlineStr">
        <is>
          <t>MALÅ</t>
        </is>
      </c>
      <c r="H25" t="inlineStr">
        <is>
          <t>SCA</t>
        </is>
      </c>
      <c r="I25" t="n">
        <v>10.2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49011-2023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46218</v>
      </c>
      <c r="F26" t="inlineStr">
        <is>
          <t>VÄSTERBOTTENS LÄN</t>
        </is>
      </c>
      <c r="G26" t="inlineStr">
        <is>
          <t>MALÅ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49013-2023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46218</v>
      </c>
      <c r="F27" t="inlineStr">
        <is>
          <t>VÄSTERBOTTENS LÄN</t>
        </is>
      </c>
      <c r="G27" t="inlineStr">
        <is>
          <t>MALÅ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15857-2023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45022</v>
      </c>
      <c r="E28" s="1" t="n">
        <v>46218</v>
      </c>
      <c r="F28" t="inlineStr">
        <is>
          <t>VÄSTERBOTTENS LÄN</t>
        </is>
      </c>
      <c r="G28" t="inlineStr">
        <is>
          <t>MALÅ</t>
        </is>
      </c>
      <c r="I28" t="n">
        <v>5.6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51573-2023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46218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36706-2023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45152</v>
      </c>
      <c r="E30" s="1" t="n">
        <v>46218</v>
      </c>
      <c r="F30" t="inlineStr">
        <is>
          <t>VÄSTERBOTTENS LÄN</t>
        </is>
      </c>
      <c r="G30" t="inlineStr">
        <is>
          <t>MALÅ</t>
        </is>
      </c>
      <c r="I30" t="n">
        <v>41.7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46218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60702-2024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46218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45807-2023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45189</v>
      </c>
      <c r="E33" s="1" t="n">
        <v>46218</v>
      </c>
      <c r="F33" t="inlineStr">
        <is>
          <t>VÄSTERBOTTENS LÄN</t>
        </is>
      </c>
      <c r="G33" t="inlineStr">
        <is>
          <t>MALÅ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44967</v>
      </c>
      <c r="E34" s="1" t="n">
        <v>46218</v>
      </c>
      <c r="F34" t="inlineStr">
        <is>
          <t>VÄSTERBOTTENS LÄN</t>
        </is>
      </c>
      <c r="G34" t="inlineStr">
        <is>
          <t>MALÅ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38877-2023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46218</v>
      </c>
      <c r="F35" t="inlineStr">
        <is>
          <t>VÄSTERBOTTENS LÄN</t>
        </is>
      </c>
      <c r="G35" t="inlineStr">
        <is>
          <t>MALÅ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41792-2023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45176</v>
      </c>
      <c r="E36" s="1" t="n">
        <v>46218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10.7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61992-2024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45646</v>
      </c>
      <c r="E37" s="1" t="n">
        <v>46218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41852-2023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46218</v>
      </c>
      <c r="F38" t="inlineStr">
        <is>
          <t>VÄSTERBOTTENS LÄN</t>
        </is>
      </c>
      <c r="G38" t="inlineStr">
        <is>
          <t>MALÅ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42182-2023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45178</v>
      </c>
      <c r="E39" s="1" t="n">
        <v>46218</v>
      </c>
      <c r="F39" t="inlineStr">
        <is>
          <t>VÄSTERBOTTENS LÄN</t>
        </is>
      </c>
      <c r="G39" t="inlineStr">
        <is>
          <t>MALÅ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6910-2023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44964</v>
      </c>
      <c r="E40" s="1" t="n">
        <v>46218</v>
      </c>
      <c r="F40" t="inlineStr">
        <is>
          <t>VÄSTERBOTTENS LÄN</t>
        </is>
      </c>
      <c r="G40" t="inlineStr">
        <is>
          <t>MALÅ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37444-2023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45155</v>
      </c>
      <c r="E41" s="1" t="n">
        <v>46218</v>
      </c>
      <c r="F41" t="inlineStr">
        <is>
          <t>VÄSTERBOTTENS LÄN</t>
        </is>
      </c>
      <c r="G41" t="inlineStr">
        <is>
          <t>MALÅ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52104-2023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45223</v>
      </c>
      <c r="E42" s="1" t="n">
        <v>46218</v>
      </c>
      <c r="F42" t="inlineStr">
        <is>
          <t>VÄSTERBOTTENS LÄN</t>
        </is>
      </c>
      <c r="G42" t="inlineStr">
        <is>
          <t>MALÅ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37537-2023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46218</v>
      </c>
      <c r="F43" t="inlineStr">
        <is>
          <t>VÄSTERBOTTENS LÄN</t>
        </is>
      </c>
      <c r="G43" t="inlineStr">
        <is>
          <t>MALÅ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39622-2025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45890</v>
      </c>
      <c r="E44" s="1" t="n">
        <v>46218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39614-2025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46218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46218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53657-2023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45230</v>
      </c>
      <c r="E47" s="1" t="n">
        <v>46218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39788-2023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46218</v>
      </c>
      <c r="F48" t="inlineStr">
        <is>
          <t>VÄSTERBOTTENS LÄN</t>
        </is>
      </c>
      <c r="G48" t="inlineStr">
        <is>
          <t>MALÅ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40607-2023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45170</v>
      </c>
      <c r="E49" s="1" t="n">
        <v>46218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31088-2024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45502</v>
      </c>
      <c r="E50" s="1" t="n">
        <v>46218</v>
      </c>
      <c r="F50" t="inlineStr">
        <is>
          <t>VÄSTERBOTTENS LÄN</t>
        </is>
      </c>
      <c r="G50" t="inlineStr">
        <is>
          <t>MALÅ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36054-2023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46218</v>
      </c>
      <c r="F51" t="inlineStr">
        <is>
          <t>VÄSTERBOTTENS LÄN</t>
        </is>
      </c>
      <c r="G51" t="inlineStr">
        <is>
          <t>MALÅ</t>
        </is>
      </c>
      <c r="I51" t="n">
        <v>16.2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46218</v>
      </c>
      <c r="F52" t="inlineStr">
        <is>
          <t>VÄSTERBOTTENS LÄN</t>
        </is>
      </c>
      <c r="G52" t="inlineStr">
        <is>
          <t>MALÅ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45694</v>
      </c>
      <c r="E53" s="1" t="n">
        <v>46218</v>
      </c>
      <c r="F53" t="inlineStr">
        <is>
          <t>VÄSTERBOTTENS LÄN</t>
        </is>
      </c>
      <c r="G53" t="inlineStr">
        <is>
          <t>MALÅ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10843-2024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45369</v>
      </c>
      <c r="E54" s="1" t="n">
        <v>46218</v>
      </c>
      <c r="F54" t="inlineStr">
        <is>
          <t>VÄSTERBOTTENS LÄN</t>
        </is>
      </c>
      <c r="G54" t="inlineStr">
        <is>
          <t>MALÅ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46218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46218</v>
      </c>
      <c r="F56" t="inlineStr">
        <is>
          <t>VÄSTERBOTTENS LÄN</t>
        </is>
      </c>
      <c r="G56" t="inlineStr">
        <is>
          <t>MALÅ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57303-2023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45245</v>
      </c>
      <c r="E57" s="1" t="n">
        <v>46218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40943-2025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45897</v>
      </c>
      <c r="E58" s="1" t="n">
        <v>46218</v>
      </c>
      <c r="F58" t="inlineStr">
        <is>
          <t>VÄSTERBOTTENS LÄN</t>
        </is>
      </c>
      <c r="G58" t="inlineStr">
        <is>
          <t>MALÅ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41198-2025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46218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22.4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52795-2024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46218</v>
      </c>
      <c r="F60" t="inlineStr">
        <is>
          <t>VÄSTERBOTTENS LÄN</t>
        </is>
      </c>
      <c r="G60" t="inlineStr">
        <is>
          <t>MALÅ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38404-2023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45162</v>
      </c>
      <c r="E61" s="1" t="n">
        <v>46218</v>
      </c>
      <c r="F61" t="inlineStr">
        <is>
          <t>VÄSTERBOTTENS LÄN</t>
        </is>
      </c>
      <c r="G61" t="inlineStr">
        <is>
          <t>MALÅ</t>
        </is>
      </c>
      <c r="I61" t="n">
        <v>17.5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46218</v>
      </c>
      <c r="F62" t="inlineStr">
        <is>
          <t>VÄSTERBOTTENS LÄN</t>
        </is>
      </c>
      <c r="G62" t="inlineStr">
        <is>
          <t>MALÅ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41913-2023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46218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39320-2023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46218</v>
      </c>
      <c r="F64" t="inlineStr">
        <is>
          <t>VÄSTERBOTTENS LÄN</t>
        </is>
      </c>
      <c r="G64" t="inlineStr">
        <is>
          <t>MALÅ</t>
        </is>
      </c>
      <c r="H64" t="inlineStr">
        <is>
          <t>Kyrkan</t>
        </is>
      </c>
      <c r="I64" t="n">
        <v>84.5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40588-2023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45170</v>
      </c>
      <c r="E65" s="1" t="n">
        <v>46218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60168-2024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45639</v>
      </c>
      <c r="E66" s="1" t="n">
        <v>46218</v>
      </c>
      <c r="F66" t="inlineStr">
        <is>
          <t>VÄSTERBOTTENS LÄN</t>
        </is>
      </c>
      <c r="G66" t="inlineStr">
        <is>
          <t>MALÅ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41191-2025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46218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13.8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13432-2025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45736</v>
      </c>
      <c r="E68" s="1" t="n">
        <v>46218</v>
      </c>
      <c r="F68" t="inlineStr">
        <is>
          <t>VÄSTERBOTTENS LÄN</t>
        </is>
      </c>
      <c r="G68" t="inlineStr">
        <is>
          <t>MALÅ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37535-2023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45158</v>
      </c>
      <c r="E69" s="1" t="n">
        <v>46218</v>
      </c>
      <c r="F69" t="inlineStr">
        <is>
          <t>VÄSTERBOTTENS LÄN</t>
        </is>
      </c>
      <c r="G69" t="inlineStr">
        <is>
          <t>MALÅ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40822-2023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45171</v>
      </c>
      <c r="E70" s="1" t="n">
        <v>46218</v>
      </c>
      <c r="F70" t="inlineStr">
        <is>
          <t>VÄSTERBOTTENS LÄN</t>
        </is>
      </c>
      <c r="G70" t="inlineStr">
        <is>
          <t>MALÅ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46063-2023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45196</v>
      </c>
      <c r="E71" s="1" t="n">
        <v>46218</v>
      </c>
      <c r="F71" t="inlineStr">
        <is>
          <t>VÄSTERBOTTENS LÄN</t>
        </is>
      </c>
      <c r="G71" t="inlineStr">
        <is>
          <t>MALÅ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41353-2023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46218</v>
      </c>
      <c r="F72" t="inlineStr">
        <is>
          <t>VÄSTERBOTTENS LÄN</t>
        </is>
      </c>
      <c r="G72" t="inlineStr">
        <is>
          <t>MALÅ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  <c r="X72">
        <f>HYPERLINK("https://klasma.github.io/Logging_2418/knärot/A 41353-2023 karta knärot.png", "A 41353-2023")</f>
        <v/>
      </c>
      <c r="Y72">
        <f>HYPERLINK("https://klasma.github.io/Logging_2418/klagomål/A 41353-2023 FSC-klagomål.docx", "A 41353-2023")</f>
        <v/>
      </c>
      <c r="Z72">
        <f>HYPERLINK("https://klasma.github.io/Logging_2418/klagomålsmail/A 41353-2023 FSC-klagomål mail.docx", "A 41353-2023")</f>
        <v/>
      </c>
      <c r="AA72">
        <f>HYPERLINK("https://klasma.github.io/Logging_2418/tillsyn/A 41353-2023 tillsynsbegäran.docx", "A 41353-2023")</f>
        <v/>
      </c>
      <c r="AB72">
        <f>HYPERLINK("https://klasma.github.io/Logging_2418/tillsynsmail/A 41353-2023 tillsynsbegäran mail.docx", "A 41353-2023")</f>
        <v/>
      </c>
    </row>
    <row r="73" ht="15" customHeight="1">
      <c r="A73" t="inlineStr">
        <is>
          <t>A 32769-2024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45516</v>
      </c>
      <c r="E73" s="1" t="n">
        <v>46218</v>
      </c>
      <c r="F73" t="inlineStr">
        <is>
          <t>VÄSTERBOTTENS LÄN</t>
        </is>
      </c>
      <c r="G73" t="inlineStr">
        <is>
          <t>MALÅ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54239-2022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44881</v>
      </c>
      <c r="E74" s="1" t="n">
        <v>46218</v>
      </c>
      <c r="F74" t="inlineStr">
        <is>
          <t>VÄSTERBOTTENS LÄN</t>
        </is>
      </c>
      <c r="G74" t="inlineStr">
        <is>
          <t>MALÅ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48572-2023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45202</v>
      </c>
      <c r="E75" s="1" t="n">
        <v>46218</v>
      </c>
      <c r="F75" t="inlineStr">
        <is>
          <t>VÄSTERBOTTENS LÄN</t>
        </is>
      </c>
      <c r="G75" t="inlineStr">
        <is>
          <t>MALÅ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37172-2023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46218</v>
      </c>
      <c r="F76" t="inlineStr">
        <is>
          <t>VÄSTERBOTTENS LÄN</t>
        </is>
      </c>
      <c r="G76" t="inlineStr">
        <is>
          <t>MALÅ</t>
        </is>
      </c>
      <c r="I76" t="n">
        <v>73.7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39214-2023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46218</v>
      </c>
      <c r="F77" t="inlineStr">
        <is>
          <t>VÄSTERBOTTENS LÄN</t>
        </is>
      </c>
      <c r="G77" t="inlineStr">
        <is>
          <t>MALÅ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48931-2023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46218</v>
      </c>
      <c r="F78" t="inlineStr">
        <is>
          <t>VÄSTERBOTTENS LÄN</t>
        </is>
      </c>
      <c r="G78" t="inlineStr">
        <is>
          <t>MALÅ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6671-2025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45700</v>
      </c>
      <c r="E79" s="1" t="n">
        <v>46218</v>
      </c>
      <c r="F79" t="inlineStr">
        <is>
          <t>VÄSTERBOTTENS LÄN</t>
        </is>
      </c>
      <c r="G79" t="inlineStr">
        <is>
          <t>MALÅ</t>
        </is>
      </c>
      <c r="H79" t="inlineStr">
        <is>
          <t>SCA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48348-2023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46218</v>
      </c>
      <c r="F80" t="inlineStr">
        <is>
          <t>VÄSTERBOTTENS LÄN</t>
        </is>
      </c>
      <c r="G80" t="inlineStr">
        <is>
          <t>MALÅ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46280-2023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46218</v>
      </c>
      <c r="F81" t="inlineStr">
        <is>
          <t>VÄSTERBOTTENS LÄN</t>
        </is>
      </c>
      <c r="G81" t="inlineStr">
        <is>
          <t>MALÅ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42410-2023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45180</v>
      </c>
      <c r="E82" s="1" t="n">
        <v>46218</v>
      </c>
      <c r="F82" t="inlineStr">
        <is>
          <t>VÄSTERBOTTENS LÄN</t>
        </is>
      </c>
      <c r="G82" t="inlineStr">
        <is>
          <t>MALÅ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35917-2022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46218</v>
      </c>
      <c r="F83" t="inlineStr">
        <is>
          <t>VÄSTERBOTTENS LÄN</t>
        </is>
      </c>
      <c r="G83" t="inlineStr">
        <is>
          <t>MALÅ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39246-2023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46218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40593-2023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45170</v>
      </c>
      <c r="E85" s="1" t="n">
        <v>46218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39663-2023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46218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30.8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49835-2023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46218</v>
      </c>
      <c r="F87" t="inlineStr">
        <is>
          <t>VÄSTERBOTTENS LÄN</t>
        </is>
      </c>
      <c r="G87" t="inlineStr">
        <is>
          <t>MALÅ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49434-2023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45211</v>
      </c>
      <c r="E88" s="1" t="n">
        <v>46218</v>
      </c>
      <c r="F88" t="inlineStr">
        <is>
          <t>VÄSTERBOTTENS LÄN</t>
        </is>
      </c>
      <c r="G88" t="inlineStr">
        <is>
          <t>MALÅ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48322-2023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46218</v>
      </c>
      <c r="F89" t="inlineStr">
        <is>
          <t>VÄSTERBOTTENS LÄN</t>
        </is>
      </c>
      <c r="G89" t="inlineStr">
        <is>
          <t>MALÅ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48731-2023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45203</v>
      </c>
      <c r="E90" s="1" t="n">
        <v>46218</v>
      </c>
      <c r="F90" t="inlineStr">
        <is>
          <t>VÄSTERBOTTENS LÄN</t>
        </is>
      </c>
      <c r="G90" t="inlineStr">
        <is>
          <t>MALÅ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39994-2023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45168</v>
      </c>
      <c r="E91" s="1" t="n">
        <v>46218</v>
      </c>
      <c r="F91" t="inlineStr">
        <is>
          <t>VÄSTERBOTTENS LÄN</t>
        </is>
      </c>
      <c r="G91" t="inlineStr">
        <is>
          <t>MALÅ</t>
        </is>
      </c>
      <c r="I91" t="n">
        <v>27.9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43952-2023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46218</v>
      </c>
      <c r="F92" t="inlineStr">
        <is>
          <t>VÄSTERBOTTENS LÄN</t>
        </is>
      </c>
      <c r="G92" t="inlineStr">
        <is>
          <t>MALÅ</t>
        </is>
      </c>
      <c r="H92" t="inlineStr">
        <is>
          <t>SCA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32767-2024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45516</v>
      </c>
      <c r="E93" s="1" t="n">
        <v>46218</v>
      </c>
      <c r="F93" t="inlineStr">
        <is>
          <t>VÄSTERBOTTENS LÄN</t>
        </is>
      </c>
      <c r="G93" t="inlineStr">
        <is>
          <t>MALÅ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45102-2023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45190</v>
      </c>
      <c r="E94" s="1" t="n">
        <v>46218</v>
      </c>
      <c r="F94" t="inlineStr">
        <is>
          <t>VÄSTERBOTTENS LÄN</t>
        </is>
      </c>
      <c r="G94" t="inlineStr">
        <is>
          <t>MALÅ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34353-2022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44792</v>
      </c>
      <c r="E95" s="1" t="n">
        <v>46218</v>
      </c>
      <c r="F95" t="inlineStr">
        <is>
          <t>VÄSTERBOTTENS LÄN</t>
        </is>
      </c>
      <c r="G95" t="inlineStr">
        <is>
          <t>MALÅ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14280-2024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45393</v>
      </c>
      <c r="E96" s="1" t="n">
        <v>46218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68036-2021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46218</v>
      </c>
      <c r="F97" t="inlineStr">
        <is>
          <t>VÄSTERBOTTENS LÄN</t>
        </is>
      </c>
      <c r="G97" t="inlineStr">
        <is>
          <t>MALÅ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54463-2023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45232</v>
      </c>
      <c r="E98" s="1" t="n">
        <v>46218</v>
      </c>
      <c r="F98" t="inlineStr">
        <is>
          <t>VÄSTERBOTTENS LÄN</t>
        </is>
      </c>
      <c r="G98" t="inlineStr">
        <is>
          <t>MALÅ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32618-2023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46218</v>
      </c>
      <c r="F99" t="inlineStr">
        <is>
          <t>VÄSTERBOTTENS LÄN</t>
        </is>
      </c>
      <c r="G99" t="inlineStr">
        <is>
          <t>MALÅ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43501-2023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46218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46218</v>
      </c>
      <c r="F101" t="inlineStr">
        <is>
          <t>VÄSTERBOTTENS LÄN</t>
        </is>
      </c>
      <c r="G101" t="inlineStr">
        <is>
          <t>MALÅ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46218</v>
      </c>
      <c r="F102" t="inlineStr">
        <is>
          <t>VÄSTERBOTTENS LÄN</t>
        </is>
      </c>
      <c r="G102" t="inlineStr">
        <is>
          <t>MALÅ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59561-2024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45638</v>
      </c>
      <c r="E103" s="1" t="n">
        <v>46218</v>
      </c>
      <c r="F103" t="inlineStr">
        <is>
          <t>VÄSTERBOTTENS LÄN</t>
        </is>
      </c>
      <c r="G103" t="inlineStr">
        <is>
          <t>MALÅ</t>
        </is>
      </c>
      <c r="I103" t="n">
        <v>11.4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41126-2023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46218</v>
      </c>
      <c r="F104" t="inlineStr">
        <is>
          <t>VÄSTERBOTTENS LÄN</t>
        </is>
      </c>
      <c r="G104" t="inlineStr">
        <is>
          <t>MALÅ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48058-2025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46218</v>
      </c>
      <c r="F105" t="inlineStr">
        <is>
          <t>VÄSTERBOTTENS LÄN</t>
        </is>
      </c>
      <c r="G105" t="inlineStr">
        <is>
          <t>MALÅ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41792-2023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45176</v>
      </c>
      <c r="E106" s="1" t="n">
        <v>46218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45688</v>
      </c>
      <c r="E107" s="1" t="n">
        <v>46218</v>
      </c>
      <c r="F107" t="inlineStr">
        <is>
          <t>VÄSTERBOTTENS LÄN</t>
        </is>
      </c>
      <c r="G107" t="inlineStr">
        <is>
          <t>MALÅ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52270-2023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45217</v>
      </c>
      <c r="E108" s="1" t="n">
        <v>46218</v>
      </c>
      <c r="F108" t="inlineStr">
        <is>
          <t>VÄSTERBOTTENS LÄN</t>
        </is>
      </c>
      <c r="G108" t="inlineStr">
        <is>
          <t>MALÅ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48994-2025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46218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45939</v>
      </c>
      <c r="E110" s="1" t="n">
        <v>46218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49661-2025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45939</v>
      </c>
      <c r="E111" s="1" t="n">
        <v>46218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49202-2025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46218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48983-2025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46218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49070-2025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46218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49207-2025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46218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36144-2023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45149</v>
      </c>
      <c r="E116" s="1" t="n">
        <v>46218</v>
      </c>
      <c r="F116" t="inlineStr">
        <is>
          <t>VÄSTERBOTTENS LÄN</t>
        </is>
      </c>
      <c r="G116" t="inlineStr">
        <is>
          <t>MALÅ</t>
        </is>
      </c>
      <c r="I116" t="n">
        <v>147.1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45101-2023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45190</v>
      </c>
      <c r="E117" s="1" t="n">
        <v>46218</v>
      </c>
      <c r="F117" t="inlineStr">
        <is>
          <t>VÄSTERBOTTENS LÄN</t>
        </is>
      </c>
      <c r="G117" t="inlineStr">
        <is>
          <t>MALÅ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39304-2023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45166</v>
      </c>
      <c r="E118" s="1" t="n">
        <v>46218</v>
      </c>
      <c r="F118" t="inlineStr">
        <is>
          <t>VÄSTERBOTTENS LÄN</t>
        </is>
      </c>
      <c r="G118" t="inlineStr">
        <is>
          <t>MALÅ</t>
        </is>
      </c>
      <c r="H118" t="inlineStr">
        <is>
          <t>Kyrkan</t>
        </is>
      </c>
      <c r="I118" t="n">
        <v>27.3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49839-2023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45210</v>
      </c>
      <c r="E119" s="1" t="n">
        <v>46218</v>
      </c>
      <c r="F119" t="inlineStr">
        <is>
          <t>VÄSTERBOTTENS LÄN</t>
        </is>
      </c>
      <c r="G119" t="inlineStr">
        <is>
          <t>MALÅ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49840-2023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46218</v>
      </c>
      <c r="F120" t="inlineStr">
        <is>
          <t>VÄSTERBOTTENS LÄN</t>
        </is>
      </c>
      <c r="G120" t="inlineStr">
        <is>
          <t>MALÅ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50920-2025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46218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36743-2023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45153</v>
      </c>
      <c r="E122" s="1" t="n">
        <v>46218</v>
      </c>
      <c r="F122" t="inlineStr">
        <is>
          <t>VÄSTERBOTTENS LÄN</t>
        </is>
      </c>
      <c r="G122" t="inlineStr">
        <is>
          <t>MALÅ</t>
        </is>
      </c>
      <c r="I122" t="n">
        <v>15.7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36744-2023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45153</v>
      </c>
      <c r="E123" s="1" t="n">
        <v>46218</v>
      </c>
      <c r="F123" t="inlineStr">
        <is>
          <t>VÄSTERBOTTENS LÄN</t>
        </is>
      </c>
      <c r="G123" t="inlineStr">
        <is>
          <t>MALÅ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62284-2023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46218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20234-2023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45054</v>
      </c>
      <c r="E125" s="1" t="n">
        <v>46218</v>
      </c>
      <c r="F125" t="inlineStr">
        <is>
          <t>VÄSTERBOTTENS LÄN</t>
        </is>
      </c>
      <c r="G125" t="inlineStr">
        <is>
          <t>MALÅ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36687-2023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46218</v>
      </c>
      <c r="F126" t="inlineStr">
        <is>
          <t>VÄSTERBOTTENS LÄN</t>
        </is>
      </c>
      <c r="G126" t="inlineStr">
        <is>
          <t>MALÅ</t>
        </is>
      </c>
      <c r="I126" t="n">
        <v>13.3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36742-2023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46218</v>
      </c>
      <c r="F127" t="inlineStr">
        <is>
          <t>VÄSTERBOTTENS LÄN</t>
        </is>
      </c>
      <c r="G127" t="inlineStr">
        <is>
          <t>MALÅ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36747-2023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46218</v>
      </c>
      <c r="F128" t="inlineStr">
        <is>
          <t>VÄSTERBOTTENS LÄN</t>
        </is>
      </c>
      <c r="G128" t="inlineStr">
        <is>
          <t>MALÅ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39790-2023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46218</v>
      </c>
      <c r="F129" t="inlineStr">
        <is>
          <t>VÄSTERBOTTENS LÄN</t>
        </is>
      </c>
      <c r="G129" t="inlineStr">
        <is>
          <t>MALÅ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51952-2025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46218</v>
      </c>
      <c r="F130" t="inlineStr">
        <is>
          <t>VÄSTERBOTTENS LÄN</t>
        </is>
      </c>
      <c r="G130" t="inlineStr">
        <is>
          <t>MALÅ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51963-2025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46218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53376-2023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45229</v>
      </c>
      <c r="E132" s="1" t="n">
        <v>46218</v>
      </c>
      <c r="F132" t="inlineStr">
        <is>
          <t>VÄSTERBOTTENS LÄN</t>
        </is>
      </c>
      <c r="G132" t="inlineStr">
        <is>
          <t>MALÅ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10121-2025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45719</v>
      </c>
      <c r="E133" s="1" t="n">
        <v>46218</v>
      </c>
      <c r="F133" t="inlineStr">
        <is>
          <t>VÄSTERBOTTENS LÄN</t>
        </is>
      </c>
      <c r="G133" t="inlineStr">
        <is>
          <t>MALÅ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29450-2024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46218</v>
      </c>
      <c r="F134" t="inlineStr">
        <is>
          <t>VÄSTERBOTTENS LÄN</t>
        </is>
      </c>
      <c r="G134" t="inlineStr">
        <is>
          <t>MALÅ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58838-2024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45636</v>
      </c>
      <c r="E135" s="1" t="n">
        <v>46218</v>
      </c>
      <c r="F135" t="inlineStr">
        <is>
          <t>VÄSTERBOTTENS LÄN</t>
        </is>
      </c>
      <c r="G135" t="inlineStr">
        <is>
          <t>MALÅ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11299-2025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46218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37.2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62124-2024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46218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13001-2023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46218</v>
      </c>
      <c r="F138" t="inlineStr">
        <is>
          <t>VÄSTERBOTTENS LÄN</t>
        </is>
      </c>
      <c r="G138" t="inlineStr">
        <is>
          <t>MALÅ</t>
        </is>
      </c>
      <c r="H138" t="inlineStr">
        <is>
          <t>SCA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56997-2023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45244</v>
      </c>
      <c r="E139" s="1" t="n">
        <v>46218</v>
      </c>
      <c r="F139" t="inlineStr">
        <is>
          <t>VÄSTERBOTTENS LÄN</t>
        </is>
      </c>
      <c r="G139" t="inlineStr">
        <is>
          <t>MALÅ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46218</v>
      </c>
      <c r="F140" t="inlineStr">
        <is>
          <t>VÄSTERBOTTENS LÄN</t>
        </is>
      </c>
      <c r="G140" t="inlineStr">
        <is>
          <t>MALÅ</t>
        </is>
      </c>
      <c r="I140" t="n">
        <v>18.6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51936-2025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45952</v>
      </c>
      <c r="E141" s="1" t="n">
        <v>46218</v>
      </c>
      <c r="F141" t="inlineStr">
        <is>
          <t>VÄSTERBOTTENS LÄN</t>
        </is>
      </c>
      <c r="G141" t="inlineStr">
        <is>
          <t>MALÅ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51950-2025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45952</v>
      </c>
      <c r="E142" s="1" t="n">
        <v>46218</v>
      </c>
      <c r="F142" t="inlineStr">
        <is>
          <t>VÄSTERBOTTENS LÄN</t>
        </is>
      </c>
      <c r="G142" t="inlineStr">
        <is>
          <t>MALÅ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53256-2023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46218</v>
      </c>
      <c r="F143" t="inlineStr">
        <is>
          <t>VÄSTERBOTTENS LÄN</t>
        </is>
      </c>
      <c r="G143" t="inlineStr">
        <is>
          <t>MALÅ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51968-2025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45952</v>
      </c>
      <c r="E144" s="1" t="n">
        <v>46218</v>
      </c>
      <c r="F144" t="inlineStr">
        <is>
          <t>VÄSTERBOTTENS LÄN</t>
        </is>
      </c>
      <c r="G144" t="inlineStr">
        <is>
          <t>MALÅ</t>
        </is>
      </c>
      <c r="H144" t="inlineStr">
        <is>
          <t>SCA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51967-2025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46218</v>
      </c>
      <c r="F145" t="inlineStr">
        <is>
          <t>VÄSTERBOTTENS LÄN</t>
        </is>
      </c>
      <c r="G145" t="inlineStr">
        <is>
          <t>MALÅ</t>
        </is>
      </c>
      <c r="H145" t="inlineStr">
        <is>
          <t>SCA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16212-2025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45750</v>
      </c>
      <c r="E146" s="1" t="n">
        <v>46218</v>
      </c>
      <c r="F146" t="inlineStr">
        <is>
          <t>VÄSTERBOTTENS LÄN</t>
        </is>
      </c>
      <c r="G146" t="inlineStr">
        <is>
          <t>MALÅ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48353-2023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46218</v>
      </c>
      <c r="F147" t="inlineStr">
        <is>
          <t>VÄSTERBOTTENS LÄN</t>
        </is>
      </c>
      <c r="G147" t="inlineStr">
        <is>
          <t>MALÅ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39794-2023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46218</v>
      </c>
      <c r="F148" t="inlineStr">
        <is>
          <t>VÄSTERBOTTENS LÄN</t>
        </is>
      </c>
      <c r="G148" t="inlineStr">
        <is>
          <t>MALÅ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61947-2024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46218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15847-2023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45022</v>
      </c>
      <c r="E150" s="1" t="n">
        <v>46218</v>
      </c>
      <c r="F150" t="inlineStr">
        <is>
          <t>VÄSTERBOTTENS LÄN</t>
        </is>
      </c>
      <c r="G150" t="inlineStr">
        <is>
          <t>MALÅ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15850-2023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45022</v>
      </c>
      <c r="E151" s="1" t="n">
        <v>46218</v>
      </c>
      <c r="F151" t="inlineStr">
        <is>
          <t>VÄSTERBOTTENS LÄN</t>
        </is>
      </c>
      <c r="G151" t="inlineStr">
        <is>
          <t>MALÅ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36695-2023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45152</v>
      </c>
      <c r="E152" s="1" t="n">
        <v>46218</v>
      </c>
      <c r="F152" t="inlineStr">
        <is>
          <t>VÄSTERBOTTENS LÄN</t>
        </is>
      </c>
      <c r="G152" t="inlineStr">
        <is>
          <t>MALÅ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40019-2023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46218</v>
      </c>
      <c r="F153" t="inlineStr">
        <is>
          <t>VÄSTERBOTTENS LÄN</t>
        </is>
      </c>
      <c r="G153" t="inlineStr">
        <is>
          <t>MALÅ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44575</v>
      </c>
      <c r="E154" s="1" t="n">
        <v>46218</v>
      </c>
      <c r="F154" t="inlineStr">
        <is>
          <t>VÄSTERBOTTENS LÄN</t>
        </is>
      </c>
      <c r="G154" t="inlineStr">
        <is>
          <t>MALÅ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53068-2023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45227</v>
      </c>
      <c r="E155" s="1" t="n">
        <v>46218</v>
      </c>
      <c r="F155" t="inlineStr">
        <is>
          <t>VÄSTERBOTTENS LÄN</t>
        </is>
      </c>
      <c r="G155" t="inlineStr">
        <is>
          <t>MALÅ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41567-2023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46218</v>
      </c>
      <c r="F156" t="inlineStr">
        <is>
          <t>VÄSTERBOTTENS LÄN</t>
        </is>
      </c>
      <c r="G156" t="inlineStr">
        <is>
          <t>MALÅ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46377-2023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45193</v>
      </c>
      <c r="E157" s="1" t="n">
        <v>46218</v>
      </c>
      <c r="F157" t="inlineStr">
        <is>
          <t>VÄSTERBOTTENS LÄN</t>
        </is>
      </c>
      <c r="G157" t="inlineStr">
        <is>
          <t>MALÅ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46393-2023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45193</v>
      </c>
      <c r="E158" s="1" t="n">
        <v>46218</v>
      </c>
      <c r="F158" t="inlineStr">
        <is>
          <t>VÄSTERBOTTENS LÄN</t>
        </is>
      </c>
      <c r="G158" t="inlineStr">
        <is>
          <t>MALÅ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46218</v>
      </c>
      <c r="F159" t="inlineStr">
        <is>
          <t>VÄSTERBOTTENS LÄN</t>
        </is>
      </c>
      <c r="G159" t="inlineStr">
        <is>
          <t>MALÅ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52480-2023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45225</v>
      </c>
      <c r="E160" s="1" t="n">
        <v>46218</v>
      </c>
      <c r="F160" t="inlineStr">
        <is>
          <t>VÄSTERBOTTENS LÄN</t>
        </is>
      </c>
      <c r="G160" t="inlineStr">
        <is>
          <t>MALÅ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51380-2023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46218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21.5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67383-2021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44523</v>
      </c>
      <c r="E162" s="1" t="n">
        <v>46218</v>
      </c>
      <c r="F162" t="inlineStr">
        <is>
          <t>VÄSTERBOTTENS LÄN</t>
        </is>
      </c>
      <c r="G162" t="inlineStr">
        <is>
          <t>MALÅ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12857-2024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45384</v>
      </c>
      <c r="E163" s="1" t="n">
        <v>46218</v>
      </c>
      <c r="F163" t="inlineStr">
        <is>
          <t>VÄSTERBOTTENS LÄN</t>
        </is>
      </c>
      <c r="G163" t="inlineStr">
        <is>
          <t>MALÅ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57499-2022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44889</v>
      </c>
      <c r="E164" s="1" t="n">
        <v>46218</v>
      </c>
      <c r="F164" t="inlineStr">
        <is>
          <t>VÄSTERBOTTENS LÄN</t>
        </is>
      </c>
      <c r="G164" t="inlineStr">
        <is>
          <t>MALÅ</t>
        </is>
      </c>
      <c r="I164" t="n">
        <v>10.2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31273-2024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45504</v>
      </c>
      <c r="E165" s="1" t="n">
        <v>46218</v>
      </c>
      <c r="F165" t="inlineStr">
        <is>
          <t>VÄSTERBOTTENS LÄN</t>
        </is>
      </c>
      <c r="G165" t="inlineStr">
        <is>
          <t>MALÅ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45789-2023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46218</v>
      </c>
      <c r="F166" t="inlineStr">
        <is>
          <t>VÄSTERBOTTENS LÄN</t>
        </is>
      </c>
      <c r="G166" t="inlineStr">
        <is>
          <t>MALÅ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46218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46989-2023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45201</v>
      </c>
      <c r="E168" s="1" t="n">
        <v>46218</v>
      </c>
      <c r="F168" t="inlineStr">
        <is>
          <t>VÄSTERBOTTENS LÄN</t>
        </is>
      </c>
      <c r="G168" t="inlineStr">
        <is>
          <t>MALÅ</t>
        </is>
      </c>
      <c r="I168" t="n">
        <v>22.9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42214-2023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45179</v>
      </c>
      <c r="E169" s="1" t="n">
        <v>46218</v>
      </c>
      <c r="F169" t="inlineStr">
        <is>
          <t>VÄSTERBOTTENS LÄN</t>
        </is>
      </c>
      <c r="G169" t="inlineStr">
        <is>
          <t>MALÅ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59801-2021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44491</v>
      </c>
      <c r="E170" s="1" t="n">
        <v>46218</v>
      </c>
      <c r="F170" t="inlineStr">
        <is>
          <t>VÄSTERBOTTENS LÄN</t>
        </is>
      </c>
      <c r="G170" t="inlineStr">
        <is>
          <t>MALÅ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53595-2025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45960</v>
      </c>
      <c r="E171" s="1" t="n">
        <v>46218</v>
      </c>
      <c r="F171" t="inlineStr">
        <is>
          <t>VÄSTERBOTTENS LÄN</t>
        </is>
      </c>
      <c r="G171" t="inlineStr">
        <is>
          <t>MALÅ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49226-2024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45595</v>
      </c>
      <c r="E172" s="1" t="n">
        <v>46218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32979-2024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45516</v>
      </c>
      <c r="E173" s="1" t="n">
        <v>46218</v>
      </c>
      <c r="F173" t="inlineStr">
        <is>
          <t>VÄSTERBOTTENS LÄN</t>
        </is>
      </c>
      <c r="G173" t="inlineStr">
        <is>
          <t>MALÅ</t>
        </is>
      </c>
      <c r="I173" t="n">
        <v>15.5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35844-2023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45148</v>
      </c>
      <c r="E174" s="1" t="n">
        <v>46218</v>
      </c>
      <c r="F174" t="inlineStr">
        <is>
          <t>VÄSTERBOTTENS LÄN</t>
        </is>
      </c>
      <c r="G174" t="inlineStr">
        <is>
          <t>MALÅ</t>
        </is>
      </c>
      <c r="I174" t="n">
        <v>26.3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11824-2023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46218</v>
      </c>
      <c r="F175" t="inlineStr">
        <is>
          <t>VÄSTERBOTTENS LÄN</t>
        </is>
      </c>
      <c r="G175" t="inlineStr">
        <is>
          <t>MALÅ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59067-2023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45252</v>
      </c>
      <c r="E176" s="1" t="n">
        <v>46218</v>
      </c>
      <c r="F176" t="inlineStr">
        <is>
          <t>VÄSTERBOTTENS LÄN</t>
        </is>
      </c>
      <c r="G176" t="inlineStr">
        <is>
          <t>MALÅ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36676-2023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46218</v>
      </c>
      <c r="F177" t="inlineStr">
        <is>
          <t>VÄSTERBOTTENS LÄN</t>
        </is>
      </c>
      <c r="G177" t="inlineStr">
        <is>
          <t>MALÅ</t>
        </is>
      </c>
      <c r="I177" t="n">
        <v>16.6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42383-2023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46218</v>
      </c>
      <c r="F178" t="inlineStr">
        <is>
          <t>VÄSTERBOTTENS LÄN</t>
        </is>
      </c>
      <c r="G178" t="inlineStr">
        <is>
          <t>MALÅ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46218</v>
      </c>
      <c r="F179" t="inlineStr">
        <is>
          <t>VÄSTERBOTTENS LÄN</t>
        </is>
      </c>
      <c r="G179" t="inlineStr">
        <is>
          <t>MALÅ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12797-2023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45000</v>
      </c>
      <c r="E180" s="1" t="n">
        <v>46218</v>
      </c>
      <c r="F180" t="inlineStr">
        <is>
          <t>VÄSTERBOTTENS LÄN</t>
        </is>
      </c>
      <c r="G180" t="inlineStr">
        <is>
          <t>MALÅ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54628-2025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45966</v>
      </c>
      <c r="E181" s="1" t="n">
        <v>46218</v>
      </c>
      <c r="F181" t="inlineStr">
        <is>
          <t>VÄSTERBOTTENS LÄN</t>
        </is>
      </c>
      <c r="G181" t="inlineStr">
        <is>
          <t>MALÅ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13004-2023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46218</v>
      </c>
      <c r="F182" t="inlineStr">
        <is>
          <t>VÄSTERBOTTENS LÄN</t>
        </is>
      </c>
      <c r="G182" t="inlineStr">
        <is>
          <t>MALÅ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44426-2023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45188</v>
      </c>
      <c r="E183" s="1" t="n">
        <v>46218</v>
      </c>
      <c r="F183" t="inlineStr">
        <is>
          <t>VÄSTERBOTTENS LÄN</t>
        </is>
      </c>
      <c r="G183" t="inlineStr">
        <is>
          <t>MALÅ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46218</v>
      </c>
      <c r="F184" t="inlineStr">
        <is>
          <t>VÄSTERBOTTENS LÄN</t>
        </is>
      </c>
      <c r="G184" t="inlineStr">
        <is>
          <t>MALÅ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24924-2025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46218</v>
      </c>
      <c r="F185" t="inlineStr">
        <is>
          <t>VÄSTERBOTTENS LÄN</t>
        </is>
      </c>
      <c r="G185" t="inlineStr">
        <is>
          <t>MALÅ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37678-2023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45156</v>
      </c>
      <c r="E186" s="1" t="n">
        <v>46218</v>
      </c>
      <c r="F186" t="inlineStr">
        <is>
          <t>VÄSTERBOTTENS LÄN</t>
        </is>
      </c>
      <c r="G186" t="inlineStr">
        <is>
          <t>MALÅ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47797-2021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46218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41360-2023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46218</v>
      </c>
      <c r="F188" t="inlineStr">
        <is>
          <t>VÄSTERBOTTENS LÄN</t>
        </is>
      </c>
      <c r="G188" t="inlineStr">
        <is>
          <t>MALÅ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41384-2023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46218</v>
      </c>
      <c r="F189" t="inlineStr">
        <is>
          <t>VÄSTERBOTTENS LÄN</t>
        </is>
      </c>
      <c r="G189" t="inlineStr">
        <is>
          <t>MALÅ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54760-2025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46218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24925-2025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46218</v>
      </c>
      <c r="F191" t="inlineStr">
        <is>
          <t>VÄSTERBOTTENS LÄN</t>
        </is>
      </c>
      <c r="G191" t="inlineStr">
        <is>
          <t>MALÅ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58240-2022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46218</v>
      </c>
      <c r="F192" t="inlineStr">
        <is>
          <t>VÄSTERBOTTENS LÄN</t>
        </is>
      </c>
      <c r="G192" t="inlineStr">
        <is>
          <t>MALÅ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24681-2025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46218</v>
      </c>
      <c r="F193" t="inlineStr">
        <is>
          <t>VÄSTERBOTTENS LÄN</t>
        </is>
      </c>
      <c r="G193" t="inlineStr">
        <is>
          <t>MALÅ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45178</v>
      </c>
      <c r="E194" s="1" t="n">
        <v>46218</v>
      </c>
      <c r="F194" t="inlineStr">
        <is>
          <t>VÄSTERBOTTENS LÄN</t>
        </is>
      </c>
      <c r="G194" t="inlineStr">
        <is>
          <t>MALÅ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54742-2025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46218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39148-2023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45166</v>
      </c>
      <c r="E196" s="1" t="n">
        <v>46218</v>
      </c>
      <c r="F196" t="inlineStr">
        <is>
          <t>VÄSTERBOTTENS LÄN</t>
        </is>
      </c>
      <c r="G196" t="inlineStr">
        <is>
          <t>MALÅ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40370-2023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46218</v>
      </c>
      <c r="F197" t="inlineStr">
        <is>
          <t>VÄSTERBOTTENS LÄN</t>
        </is>
      </c>
      <c r="G197" t="inlineStr">
        <is>
          <t>MALÅ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60520-2024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46218</v>
      </c>
      <c r="F198" t="inlineStr">
        <is>
          <t>VÄSTERBOTTENS LÄN</t>
        </is>
      </c>
      <c r="G198" t="inlineStr">
        <is>
          <t>MALÅ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54463-2025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45964</v>
      </c>
      <c r="E199" s="1" t="n">
        <v>46218</v>
      </c>
      <c r="F199" t="inlineStr">
        <is>
          <t>VÄSTERBOTTENS LÄN</t>
        </is>
      </c>
      <c r="G199" t="inlineStr">
        <is>
          <t>MALÅ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42988-2023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45182</v>
      </c>
      <c r="E200" s="1" t="n">
        <v>46218</v>
      </c>
      <c r="F200" t="inlineStr">
        <is>
          <t>VÄSTERBOTTENS LÄN</t>
        </is>
      </c>
      <c r="G200" t="inlineStr">
        <is>
          <t>MALÅ</t>
        </is>
      </c>
      <c r="I200" t="n">
        <v>10.5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60577-2022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44911</v>
      </c>
      <c r="E201" s="1" t="n">
        <v>46218</v>
      </c>
      <c r="F201" t="inlineStr">
        <is>
          <t>VÄSTERBOTTENS LÄN</t>
        </is>
      </c>
      <c r="G201" t="inlineStr">
        <is>
          <t>MALÅ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37462-2024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46218</v>
      </c>
      <c r="F202" t="inlineStr">
        <is>
          <t>VÄSTERBOTTENS LÄN</t>
        </is>
      </c>
      <c r="G202" t="inlineStr">
        <is>
          <t>MALÅ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29375-2023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46218</v>
      </c>
      <c r="F203" t="inlineStr">
        <is>
          <t>VÄSTERBOTTENS LÄN</t>
        </is>
      </c>
      <c r="G203" t="inlineStr">
        <is>
          <t>MALÅ</t>
        </is>
      </c>
      <c r="I203" t="n">
        <v>10.5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51357-2023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46218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10.8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54455-2025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45964</v>
      </c>
      <c r="E205" s="1" t="n">
        <v>46218</v>
      </c>
      <c r="F205" t="inlineStr">
        <is>
          <t>VÄSTERBOTTENS LÄN</t>
        </is>
      </c>
      <c r="G205" t="inlineStr">
        <is>
          <t>MALÅ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37688-2024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46218</v>
      </c>
      <c r="F206" t="inlineStr">
        <is>
          <t>VÄSTERBOTTENS LÄN</t>
        </is>
      </c>
      <c r="G206" t="inlineStr">
        <is>
          <t>MALÅ</t>
        </is>
      </c>
      <c r="I206" t="n">
        <v>13.3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26892-2022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44740</v>
      </c>
      <c r="E207" s="1" t="n">
        <v>46218</v>
      </c>
      <c r="F207" t="inlineStr">
        <is>
          <t>VÄSTERBOTTENS LÄN</t>
        </is>
      </c>
      <c r="G207" t="inlineStr">
        <is>
          <t>MALÅ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61605-2024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45645</v>
      </c>
      <c r="E208" s="1" t="n">
        <v>46218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45744-2023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45193</v>
      </c>
      <c r="E209" s="1" t="n">
        <v>46218</v>
      </c>
      <c r="F209" t="inlineStr">
        <is>
          <t>VÄSTERBOTTENS LÄN</t>
        </is>
      </c>
      <c r="G209" t="inlineStr">
        <is>
          <t>MALÅ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45812-2023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45189</v>
      </c>
      <c r="E210" s="1" t="n">
        <v>46218</v>
      </c>
      <c r="F210" t="inlineStr">
        <is>
          <t>VÄSTERBOTTENS LÄN</t>
        </is>
      </c>
      <c r="G210" t="inlineStr">
        <is>
          <t>MALÅ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45219</v>
      </c>
      <c r="E211" s="1" t="n">
        <v>46218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67679-2021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44524</v>
      </c>
      <c r="E212" s="1" t="n">
        <v>46218</v>
      </c>
      <c r="F212" t="inlineStr">
        <is>
          <t>VÄSTERBOTTENS LÄN</t>
        </is>
      </c>
      <c r="G212" t="inlineStr">
        <is>
          <t>MALÅ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39152-2023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46218</v>
      </c>
      <c r="F213" t="inlineStr">
        <is>
          <t>VÄSTERBOTTENS LÄN</t>
        </is>
      </c>
      <c r="G213" t="inlineStr">
        <is>
          <t>MALÅ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39153-2023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46218</v>
      </c>
      <c r="F214" t="inlineStr">
        <is>
          <t>VÄSTERBOTTENS LÄN</t>
        </is>
      </c>
      <c r="G214" t="inlineStr">
        <is>
          <t>MALÅ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39791-2023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46218</v>
      </c>
      <c r="F215" t="inlineStr">
        <is>
          <t>VÄSTERBOTTENS LÄN</t>
        </is>
      </c>
      <c r="G215" t="inlineStr">
        <is>
          <t>MALÅ</t>
        </is>
      </c>
      <c r="I215" t="n">
        <v>10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56102-2025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45973</v>
      </c>
      <c r="E216" s="1" t="n">
        <v>46218</v>
      </c>
      <c r="F216" t="inlineStr">
        <is>
          <t>VÄSTERBOTTENS LÄN</t>
        </is>
      </c>
      <c r="G216" t="inlineStr">
        <is>
          <t>MALÅ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48089-2024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45589</v>
      </c>
      <c r="E217" s="1" t="n">
        <v>46218</v>
      </c>
      <c r="F217" t="inlineStr">
        <is>
          <t>VÄSTERBOTTENS LÄN</t>
        </is>
      </c>
      <c r="G217" t="inlineStr">
        <is>
          <t>MALÅ</t>
        </is>
      </c>
      <c r="H217" t="inlineStr">
        <is>
          <t>SCA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36745-2023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46218</v>
      </c>
      <c r="F218" t="inlineStr">
        <is>
          <t>VÄSTERBOTTENS LÄN</t>
        </is>
      </c>
      <c r="G218" t="inlineStr">
        <is>
          <t>MALÅ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45114-2021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44439</v>
      </c>
      <c r="E219" s="1" t="n">
        <v>46218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48.3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44513-2023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46218</v>
      </c>
      <c r="F220" t="inlineStr">
        <is>
          <t>VÄSTERBOTTENS LÄN</t>
        </is>
      </c>
      <c r="G220" t="inlineStr">
        <is>
          <t>MALÅ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56638-2024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46218</v>
      </c>
      <c r="F221" t="inlineStr">
        <is>
          <t>VÄSTERBOTTENS LÄN</t>
        </is>
      </c>
      <c r="G221" t="inlineStr">
        <is>
          <t>MALÅ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56662-2024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46218</v>
      </c>
      <c r="F222" t="inlineStr">
        <is>
          <t>VÄSTERBOTTENS LÄN</t>
        </is>
      </c>
      <c r="G222" t="inlineStr">
        <is>
          <t>MALÅ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45694</v>
      </c>
      <c r="E223" s="1" t="n">
        <v>46218</v>
      </c>
      <c r="F223" t="inlineStr">
        <is>
          <t>VÄSTERBOTTENS LÄN</t>
        </is>
      </c>
      <c r="G223" t="inlineStr">
        <is>
          <t>MALÅ</t>
        </is>
      </c>
      <c r="H223" t="inlineStr">
        <is>
          <t>SCA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37326-2023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45154</v>
      </c>
      <c r="E224" s="1" t="n">
        <v>46218</v>
      </c>
      <c r="F224" t="inlineStr">
        <is>
          <t>VÄSTERBOTTENS LÄN</t>
        </is>
      </c>
      <c r="G224" t="inlineStr">
        <is>
          <t>MALÅ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14461-2025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45741</v>
      </c>
      <c r="E225" s="1" t="n">
        <v>46218</v>
      </c>
      <c r="F225" t="inlineStr">
        <is>
          <t>VÄSTERBOTTENS LÄN</t>
        </is>
      </c>
      <c r="G225" t="inlineStr">
        <is>
          <t>MALÅ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36124-2023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45149</v>
      </c>
      <c r="E226" s="1" t="n">
        <v>46218</v>
      </c>
      <c r="F226" t="inlineStr">
        <is>
          <t>VÄSTERBOTTENS LÄN</t>
        </is>
      </c>
      <c r="G226" t="inlineStr">
        <is>
          <t>MALÅ</t>
        </is>
      </c>
      <c r="I226" t="n">
        <v>26.9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47799-2023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45203</v>
      </c>
      <c r="E227" s="1" t="n">
        <v>46218</v>
      </c>
      <c r="F227" t="inlineStr">
        <is>
          <t>VÄSTERBOTTENS LÄN</t>
        </is>
      </c>
      <c r="G227" t="inlineStr">
        <is>
          <t>MALÅ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37078-2023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45155</v>
      </c>
      <c r="E228" s="1" t="n">
        <v>46218</v>
      </c>
      <c r="F228" t="inlineStr">
        <is>
          <t>VÄSTERBOTTENS LÄN</t>
        </is>
      </c>
      <c r="G228" t="inlineStr">
        <is>
          <t>MALÅ</t>
        </is>
      </c>
      <c r="I228" t="n">
        <v>48.2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37181-2023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45154</v>
      </c>
      <c r="E229" s="1" t="n">
        <v>46218</v>
      </c>
      <c r="F229" t="inlineStr">
        <is>
          <t>VÄSTERBOTTENS LÄN</t>
        </is>
      </c>
      <c r="G229" t="inlineStr">
        <is>
          <t>MALÅ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61990-2024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46218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32772-2024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45516</v>
      </c>
      <c r="E231" s="1" t="n">
        <v>46218</v>
      </c>
      <c r="F231" t="inlineStr">
        <is>
          <t>VÄSTERBOTTENS LÄN</t>
        </is>
      </c>
      <c r="G231" t="inlineStr">
        <is>
          <t>MALÅ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58258-2025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46218</v>
      </c>
      <c r="F232" t="inlineStr">
        <is>
          <t>VÄSTERBOTTENS LÄN</t>
        </is>
      </c>
      <c r="G232" t="inlineStr">
        <is>
          <t>MALÅ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12680-2022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44641</v>
      </c>
      <c r="E233" s="1" t="n">
        <v>46218</v>
      </c>
      <c r="F233" t="inlineStr">
        <is>
          <t>VÄSTERBOTTENS LÄN</t>
        </is>
      </c>
      <c r="G233" t="inlineStr">
        <is>
          <t>MALÅ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45162</v>
      </c>
      <c r="E234" s="1" t="n">
        <v>46218</v>
      </c>
      <c r="F234" t="inlineStr">
        <is>
          <t>VÄSTERBOTTENS LÄN</t>
        </is>
      </c>
      <c r="G234" t="inlineStr">
        <is>
          <t>MALÅ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56094-2025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46218</v>
      </c>
      <c r="F235" t="inlineStr">
        <is>
          <t>VÄSTERBOTTENS LÄN</t>
        </is>
      </c>
      <c r="G235" t="inlineStr">
        <is>
          <t>MALÅ</t>
        </is>
      </c>
      <c r="I235" t="n">
        <v>20.7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38312-2023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46218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63.6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56727-2022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46218</v>
      </c>
      <c r="F237" t="inlineStr">
        <is>
          <t>VÄSTERBOTTENS LÄN</t>
        </is>
      </c>
      <c r="G237" t="inlineStr">
        <is>
          <t>MALÅ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58893-2025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45987</v>
      </c>
      <c r="E238" s="1" t="n">
        <v>46218</v>
      </c>
      <c r="F238" t="inlineStr">
        <is>
          <t>VÄSTERBOTTENS LÄN</t>
        </is>
      </c>
      <c r="G238" t="inlineStr">
        <is>
          <t>MALÅ</t>
        </is>
      </c>
      <c r="I238" t="n">
        <v>19.2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58894-2025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46218</v>
      </c>
      <c r="F239" t="inlineStr">
        <is>
          <t>VÄSTERBOTTENS LÄN</t>
        </is>
      </c>
      <c r="G239" t="inlineStr">
        <is>
          <t>MALÅ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48224-2024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46218</v>
      </c>
      <c r="F240" t="inlineStr">
        <is>
          <t>VÄSTERBOTTENS LÄN</t>
        </is>
      </c>
      <c r="G240" t="inlineStr">
        <is>
          <t>MALÅ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61609-2024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45645</v>
      </c>
      <c r="E241" s="1" t="n">
        <v>46218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39385-2023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46218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59465-2025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45989</v>
      </c>
      <c r="E243" s="1" t="n">
        <v>46218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59448-2025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45989</v>
      </c>
      <c r="E244" s="1" t="n">
        <v>46218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59460-2025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46218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35723-2025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45860</v>
      </c>
      <c r="E246" s="1" t="n">
        <v>46218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14.7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35844-2025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45861</v>
      </c>
      <c r="E247" s="1" t="n">
        <v>46218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35845-2025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45861</v>
      </c>
      <c r="E248" s="1" t="n">
        <v>46218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10.9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59440-2025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46218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59443-2025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45989</v>
      </c>
      <c r="E250" s="1" t="n">
        <v>46218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35728-2025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45860</v>
      </c>
      <c r="E251" s="1" t="n">
        <v>46218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59457-2025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45989</v>
      </c>
      <c r="E252" s="1" t="n">
        <v>46218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12.4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35851-2025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45861</v>
      </c>
      <c r="E253" s="1" t="n">
        <v>46218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35856-2025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45861</v>
      </c>
      <c r="E254" s="1" t="n">
        <v>46218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36286-2025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45867</v>
      </c>
      <c r="E255" s="1" t="n">
        <v>46218</v>
      </c>
      <c r="F255" t="inlineStr">
        <is>
          <t>VÄSTERBOTTENS LÄN</t>
        </is>
      </c>
      <c r="G255" t="inlineStr">
        <is>
          <t>MALÅ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34413-2023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45139</v>
      </c>
      <c r="E256" s="1" t="n">
        <v>46218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46359-2023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45193</v>
      </c>
      <c r="E257" s="1" t="n">
        <v>46218</v>
      </c>
      <c r="F257" t="inlineStr">
        <is>
          <t>VÄSTERBOTTENS LÄN</t>
        </is>
      </c>
      <c r="G257" t="inlineStr">
        <is>
          <t>MALÅ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46066-2021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44441</v>
      </c>
      <c r="E258" s="1" t="n">
        <v>46218</v>
      </c>
      <c r="F258" t="inlineStr">
        <is>
          <t>VÄSTERBOTTENS LÄN</t>
        </is>
      </c>
      <c r="G258" t="inlineStr">
        <is>
          <t>MALÅ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50504-2024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46218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25.9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59463-2025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45989</v>
      </c>
      <c r="E260" s="1" t="n">
        <v>46218</v>
      </c>
      <c r="F260" t="inlineStr">
        <is>
          <t>VÄSTERBOTTENS LÄN</t>
        </is>
      </c>
      <c r="G260" t="inlineStr">
        <is>
          <t>MALÅ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37119-2025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45875</v>
      </c>
      <c r="E261" s="1" t="n">
        <v>46218</v>
      </c>
      <c r="F261" t="inlineStr">
        <is>
          <t>VÄSTERBOTTENS LÄN</t>
        </is>
      </c>
      <c r="G261" t="inlineStr">
        <is>
          <t>MALÅ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37183-2023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46218</v>
      </c>
      <c r="F262" t="inlineStr">
        <is>
          <t>VÄSTERBOTTENS LÄN</t>
        </is>
      </c>
      <c r="G262" t="inlineStr">
        <is>
          <t>MALÅ</t>
        </is>
      </c>
      <c r="I262" t="n">
        <v>41.2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26571-2026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46183</v>
      </c>
      <c r="E263" s="1" t="n">
        <v>46218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60786-2025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46218</v>
      </c>
      <c r="F264" t="inlineStr">
        <is>
          <t>VÄSTERBOTTENS LÄN</t>
        </is>
      </c>
      <c r="G264" t="inlineStr">
        <is>
          <t>MALÅ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54198-2025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46218</v>
      </c>
      <c r="F265" t="inlineStr">
        <is>
          <t>VÄSTERBOTTENS LÄN</t>
        </is>
      </c>
      <c r="G265" t="inlineStr">
        <is>
          <t>MALÅ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9191-2025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45714</v>
      </c>
      <c r="E266" s="1" t="n">
        <v>46218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18.7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61480-2025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46218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61785-2025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46218</v>
      </c>
      <c r="F268" t="inlineStr">
        <is>
          <t>VÄSTERBOTTENS LÄN</t>
        </is>
      </c>
      <c r="G268" t="inlineStr">
        <is>
          <t>MALÅ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61844-2025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46218</v>
      </c>
      <c r="F269" t="inlineStr">
        <is>
          <t>VÄSTERBOTTENS LÄN</t>
        </is>
      </c>
      <c r="G269" t="inlineStr">
        <is>
          <t>MALÅ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45667</v>
      </c>
      <c r="E270" s="1" t="n">
        <v>46218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62257-2023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46218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26998-2026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46185</v>
      </c>
      <c r="E272" s="1" t="n">
        <v>46218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44626-2023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46218</v>
      </c>
      <c r="F273" t="inlineStr">
        <is>
          <t>VÄSTERBOTTENS LÄN</t>
        </is>
      </c>
      <c r="G273" t="inlineStr">
        <is>
          <t>MALÅ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27468-2026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46189</v>
      </c>
      <c r="E274" s="1" t="n">
        <v>46218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46189</v>
      </c>
      <c r="E275" s="1" t="n">
        <v>46218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11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37960-2023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45160</v>
      </c>
      <c r="E276" s="1" t="n">
        <v>46218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21.8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27487-2026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46189</v>
      </c>
      <c r="E277" s="1" t="n">
        <v>46218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10.1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56663-2024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45625</v>
      </c>
      <c r="E278" s="1" t="n">
        <v>46218</v>
      </c>
      <c r="F278" t="inlineStr">
        <is>
          <t>VÄSTERBOTTENS LÄN</t>
        </is>
      </c>
      <c r="G278" t="inlineStr">
        <is>
          <t>MALÅ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27466-2026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46189</v>
      </c>
      <c r="E279" s="1" t="n">
        <v>46218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9.9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27474-2026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46189</v>
      </c>
      <c r="E280" s="1" t="n">
        <v>46218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27490-2026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46189</v>
      </c>
      <c r="E281" s="1" t="n">
        <v>46218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51308-2023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45212</v>
      </c>
      <c r="E282" s="1" t="n">
        <v>46218</v>
      </c>
      <c r="F282" t="inlineStr">
        <is>
          <t>VÄSTERBOTTENS LÄN</t>
        </is>
      </c>
      <c r="G282" t="inlineStr">
        <is>
          <t>MALÅ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36425-2023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45152</v>
      </c>
      <c r="E283" s="1" t="n">
        <v>46218</v>
      </c>
      <c r="F283" t="inlineStr">
        <is>
          <t>VÄSTERBOTTENS LÄN</t>
        </is>
      </c>
      <c r="G283" t="inlineStr">
        <is>
          <t>MALÅ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51723-2023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46218</v>
      </c>
      <c r="F284" t="inlineStr">
        <is>
          <t>VÄSTERBOTTENS LÄN</t>
        </is>
      </c>
      <c r="G284" t="inlineStr">
        <is>
          <t>MALÅ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37159-2023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46218</v>
      </c>
      <c r="F285" t="inlineStr">
        <is>
          <t>VÄSTERBOTTENS LÄN</t>
        </is>
      </c>
      <c r="G285" t="inlineStr">
        <is>
          <t>MALÅ</t>
        </is>
      </c>
      <c r="I285" t="n">
        <v>63.5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2116-2023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44939</v>
      </c>
      <c r="E286" s="1" t="n">
        <v>46218</v>
      </c>
      <c r="F286" t="inlineStr">
        <is>
          <t>VÄSTERBOTTENS LÄN</t>
        </is>
      </c>
      <c r="G286" t="inlineStr">
        <is>
          <t>MALÅ</t>
        </is>
      </c>
      <c r="H286" t="inlineStr">
        <is>
          <t>SCA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46218</v>
      </c>
      <c r="F287" t="inlineStr">
        <is>
          <t>VÄSTERBOTTENS LÄN</t>
        </is>
      </c>
      <c r="G287" t="inlineStr">
        <is>
          <t>MALÅ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46027</v>
      </c>
      <c r="E288" s="1" t="n">
        <v>46218</v>
      </c>
      <c r="F288" t="inlineStr">
        <is>
          <t>VÄSTERBOTTENS LÄN</t>
        </is>
      </c>
      <c r="G288" t="inlineStr">
        <is>
          <t>MALÅ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48327-2023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46218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46218</v>
      </c>
      <c r="F290" t="inlineStr">
        <is>
          <t>VÄSTERBOTTENS LÄN</t>
        </is>
      </c>
      <c r="G290" t="inlineStr">
        <is>
          <t>MALÅ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46218</v>
      </c>
      <c r="F291" t="inlineStr">
        <is>
          <t>VÄSTERBOTTENS LÄN</t>
        </is>
      </c>
      <c r="G291" t="inlineStr">
        <is>
          <t>MALÅ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45238</v>
      </c>
      <c r="E292" s="1" t="n">
        <v>46218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46031</v>
      </c>
      <c r="E293" s="1" t="n">
        <v>46218</v>
      </c>
      <c r="F293" t="inlineStr">
        <is>
          <t>VÄSTERBOTTENS LÄN</t>
        </is>
      </c>
      <c r="G293" t="inlineStr">
        <is>
          <t>MALÅ</t>
        </is>
      </c>
      <c r="I293" t="n">
        <v>10.8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1325-2026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46218</v>
      </c>
      <c r="F294" t="inlineStr">
        <is>
          <t>VÄSTERBOTTENS LÄN</t>
        </is>
      </c>
      <c r="G294" t="inlineStr">
        <is>
          <t>MALÅ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46035</v>
      </c>
      <c r="E295" s="1" t="n">
        <v>46218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37897-2023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45159</v>
      </c>
      <c r="E296" s="1" t="n">
        <v>46218</v>
      </c>
      <c r="F296" t="inlineStr">
        <is>
          <t>VÄSTERBOTTENS LÄN</t>
        </is>
      </c>
      <c r="G296" t="inlineStr">
        <is>
          <t>MALÅ</t>
        </is>
      </c>
      <c r="I296" t="n">
        <v>30.4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40618-2023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46218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23.4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54437-2023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46218</v>
      </c>
      <c r="F298" t="inlineStr">
        <is>
          <t>VÄSTERBOTTENS LÄN</t>
        </is>
      </c>
      <c r="G298" t="inlineStr">
        <is>
          <t>MALÅ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22308-2026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46218</v>
      </c>
      <c r="F299" t="inlineStr">
        <is>
          <t>VÄSTERBOTTENS LÄN</t>
        </is>
      </c>
      <c r="G299" t="inlineStr">
        <is>
          <t>MALÅ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9947-2025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45719</v>
      </c>
      <c r="E300" s="1" t="n">
        <v>46218</v>
      </c>
      <c r="F300" t="inlineStr">
        <is>
          <t>VÄSTERBOTTENS LÄN</t>
        </is>
      </c>
      <c r="G300" t="inlineStr">
        <is>
          <t>MALÅ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60616-2024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45642</v>
      </c>
      <c r="E301" s="1" t="n">
        <v>46218</v>
      </c>
      <c r="F301" t="inlineStr">
        <is>
          <t>VÄSTERBOTTENS LÄN</t>
        </is>
      </c>
      <c r="G301" t="inlineStr">
        <is>
          <t>MALÅ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33690-2024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45520</v>
      </c>
      <c r="E302" s="1" t="n">
        <v>46218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55507-2024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46218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3471-2026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46042</v>
      </c>
      <c r="E304" s="1" t="n">
        <v>46218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60591-2024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45642</v>
      </c>
      <c r="E305" s="1" t="n">
        <v>46218</v>
      </c>
      <c r="F305" t="inlineStr">
        <is>
          <t>VÄSTERBOTTENS LÄN</t>
        </is>
      </c>
      <c r="G305" t="inlineStr">
        <is>
          <t>MALÅ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37922-2023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45159</v>
      </c>
      <c r="E306" s="1" t="n">
        <v>46218</v>
      </c>
      <c r="F306" t="inlineStr">
        <is>
          <t>VÄSTERBOTTENS LÄN</t>
        </is>
      </c>
      <c r="G306" t="inlineStr">
        <is>
          <t>MALÅ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28803-2026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46218</v>
      </c>
      <c r="F307" t="inlineStr">
        <is>
          <t>VÄSTERBOTTENS LÄN</t>
        </is>
      </c>
      <c r="G307" t="inlineStr">
        <is>
          <t>MALÅ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59866-2021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44491</v>
      </c>
      <c r="E308" s="1" t="n">
        <v>46218</v>
      </c>
      <c r="F308" t="inlineStr">
        <is>
          <t>VÄSTERBOTTENS LÄN</t>
        </is>
      </c>
      <c r="G308" t="inlineStr">
        <is>
          <t>MALÅ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50517-2024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45601</v>
      </c>
      <c r="E309" s="1" t="n">
        <v>46218</v>
      </c>
      <c r="F309" t="inlineStr">
        <is>
          <t>VÄSTERBOTTENS LÄN</t>
        </is>
      </c>
      <c r="G309" t="inlineStr">
        <is>
          <t>MALÅ</t>
        </is>
      </c>
      <c r="H309" t="inlineStr">
        <is>
          <t>SCA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37327-2023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45154</v>
      </c>
      <c r="E310" s="1" t="n">
        <v>46218</v>
      </c>
      <c r="F310" t="inlineStr">
        <is>
          <t>VÄSTERBOTTENS LÄN</t>
        </is>
      </c>
      <c r="G310" t="inlineStr">
        <is>
          <t>MALÅ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33692-2024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45520</v>
      </c>
      <c r="E311" s="1" t="n">
        <v>46218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26853-2026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46185</v>
      </c>
      <c r="E312" s="1" t="n">
        <v>46218</v>
      </c>
      <c r="F312" t="inlineStr">
        <is>
          <t>VÄSTERBOTTENS LÄN</t>
        </is>
      </c>
      <c r="G312" t="inlineStr">
        <is>
          <t>MALÅ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29024-2026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46218</v>
      </c>
      <c r="F313" t="inlineStr">
        <is>
          <t>VÄSTERBOTTENS LÄN</t>
        </is>
      </c>
      <c r="G313" t="inlineStr">
        <is>
          <t>MALÅ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29025-2026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46218</v>
      </c>
      <c r="F314" t="inlineStr">
        <is>
          <t>VÄSTERBOTTENS LÄN</t>
        </is>
      </c>
      <c r="G314" t="inlineStr">
        <is>
          <t>MALÅ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45902</v>
      </c>
      <c r="E315" s="1" t="n">
        <v>46218</v>
      </c>
      <c r="F315" t="inlineStr">
        <is>
          <t>VÄSTERBOTTENS LÄN</t>
        </is>
      </c>
      <c r="G315" t="inlineStr">
        <is>
          <t>MALÅ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8757-2026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46066</v>
      </c>
      <c r="E316" s="1" t="n">
        <v>46218</v>
      </c>
      <c r="F316" t="inlineStr">
        <is>
          <t>VÄSTERBOTTENS LÄN</t>
        </is>
      </c>
      <c r="G316" t="inlineStr">
        <is>
          <t>MALÅ</t>
        </is>
      </c>
      <c r="H316" t="inlineStr">
        <is>
          <t>SCA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8648-2026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46066</v>
      </c>
      <c r="E317" s="1" t="n">
        <v>46218</v>
      </c>
      <c r="F317" t="inlineStr">
        <is>
          <t>VÄSTERBOTTENS LÄN</t>
        </is>
      </c>
      <c r="G317" t="inlineStr">
        <is>
          <t>MALÅ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9311-2026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46070</v>
      </c>
      <c r="E318" s="1" t="n">
        <v>46218</v>
      </c>
      <c r="F318" t="inlineStr">
        <is>
          <t>VÄSTERBOTTENS LÄN</t>
        </is>
      </c>
      <c r="G318" t="inlineStr">
        <is>
          <t>MALÅ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9748-2026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46218</v>
      </c>
      <c r="F319" t="inlineStr">
        <is>
          <t>VÄSTERBOTTENS LÄN</t>
        </is>
      </c>
      <c r="G319" t="inlineStr">
        <is>
          <t>MALÅ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30502-2026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46210</v>
      </c>
      <c r="E320" s="1" t="n">
        <v>46218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11704-2026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46218</v>
      </c>
      <c r="F321" t="inlineStr">
        <is>
          <t>VÄSTERBOTTENS LÄN</t>
        </is>
      </c>
      <c r="G321" t="inlineStr">
        <is>
          <t>MALÅ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13773-2026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46097</v>
      </c>
      <c r="E322" s="1" t="n">
        <v>46218</v>
      </c>
      <c r="F322" t="inlineStr">
        <is>
          <t>VÄSTERBOTTENS LÄN</t>
        </is>
      </c>
      <c r="G322" t="inlineStr">
        <is>
          <t>MALÅ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13775-2026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46097</v>
      </c>
      <c r="E323" s="1" t="n">
        <v>46218</v>
      </c>
      <c r="F323" t="inlineStr">
        <is>
          <t>VÄSTERBOTTENS LÄN</t>
        </is>
      </c>
      <c r="G323" t="inlineStr">
        <is>
          <t>MALÅ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15286-2026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46218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15306-2026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46218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17020-2026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46218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19.7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18478-2026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46127</v>
      </c>
      <c r="E327" s="1" t="n">
        <v>46218</v>
      </c>
      <c r="F327" t="inlineStr">
        <is>
          <t>VÄSTERBOTTENS LÄN</t>
        </is>
      </c>
      <c r="G327" t="inlineStr">
        <is>
          <t>MALÅ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19351-2026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46133</v>
      </c>
      <c r="E328" s="1" t="n">
        <v>46218</v>
      </c>
      <c r="F328" t="inlineStr">
        <is>
          <t>VÄSTERBOTTENS LÄN</t>
        </is>
      </c>
      <c r="G328" t="inlineStr">
        <is>
          <t>MALÅ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19286-2026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46218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55.9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19290-2026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46133</v>
      </c>
      <c r="E330" s="1" t="n">
        <v>46218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19349-2026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46218</v>
      </c>
      <c r="F331" t="inlineStr">
        <is>
          <t>VÄSTERBOTTENS LÄN</t>
        </is>
      </c>
      <c r="G331" t="inlineStr">
        <is>
          <t>MALÅ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>
      <c r="A332" t="inlineStr">
        <is>
          <t>S 894-2022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44607</v>
      </c>
      <c r="E332" s="1" t="n">
        <v>46218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86.3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2026-07-15T01:24:59Z</dcterms:created>
  <dcterms:modified xmlns:dcterms="http://purl.org/dc/terms/" xmlns:xsi="http://www.w3.org/2001/XMLSchema-instance" xsi:type="dcterms:W3CDTF">2026-07-15T01:25:00Z</dcterms:modified>
</cp:coreProperties>
</file>