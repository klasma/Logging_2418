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46322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46322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46322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46322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46322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46322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46322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46322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41840-2023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46322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15.9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Robust tickgnagare</t>
        </is>
      </c>
      <c r="W13">
        <f>HYPERLINK("https://klasma.github.io/Logging_2418/artfynd/A 41840-2023 artfynd.xlsx", "A 41840-2023")</f>
        <v/>
      </c>
      <c r="X13">
        <f>HYPERLINK("https://klasma.github.io/Logging_2418/kartor/A 41840-2023 karta.png", "A 41840-2023")</f>
        <v/>
      </c>
      <c r="Y13">
        <f>HYPERLINK("https://klasma.github.io/Logging_2418/kartor_geotiff/A 41840-2023 georefererad karta.tif", "A 41840-2023")</f>
        <v/>
      </c>
      <c r="AA13">
        <f>HYPERLINK("https://klasma.github.io/Logging_2418/klagomål/A 41840-2023 FSC-klagomål.docx", "A 41840-2023")</f>
        <v/>
      </c>
      <c r="AB13">
        <f>HYPERLINK("https://klasma.github.io/Logging_2418/klagomålsmail/A 41840-2023 FSC-klagomål mail.docx", "A 41840-2023")</f>
        <v/>
      </c>
      <c r="AC13">
        <f>HYPERLINK("https://klasma.github.io/Logging_2418/tillsyn/A 41840-2023 tillsynsbegäran.docx", "A 41840-2023")</f>
        <v/>
      </c>
      <c r="AD13">
        <f>HYPERLINK("https://klasma.github.io/Logging_2418/tillsynsmail/A 41840-2023 tillsynsbegäran mail.docx", "A 41840-2023")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46322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46322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46322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46322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46322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46322</v>
      </c>
      <c r="F20" t="inlineStr">
        <is>
          <t>VÄSTERBOTTENS LÄN</t>
        </is>
      </c>
      <c r="G20" t="inlineStr">
        <is>
          <t>MALÅ</t>
        </is>
      </c>
      <c r="I20" t="n">
        <v>17.5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45174</v>
      </c>
      <c r="E21" s="1" t="n">
        <v>46322</v>
      </c>
      <c r="F21" t="inlineStr">
        <is>
          <t>VÄSTERBOTTENS LÄN</t>
        </is>
      </c>
      <c r="G21" t="inlineStr">
        <is>
          <t>MALÅ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46322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45170</v>
      </c>
      <c r="E23" s="1" t="n">
        <v>46322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46322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39614-2025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46322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46322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31088-2024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45502</v>
      </c>
      <c r="E27" s="1" t="n">
        <v>46322</v>
      </c>
      <c r="F27" t="inlineStr">
        <is>
          <t>VÄSTERBOTTENS LÄN</t>
        </is>
      </c>
      <c r="G27" t="inlineStr">
        <is>
          <t>MALÅ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40822-2023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45171</v>
      </c>
      <c r="E28" s="1" t="n">
        <v>46322</v>
      </c>
      <c r="F28" t="inlineStr">
        <is>
          <t>VÄSTERBOTTENS LÄN</t>
        </is>
      </c>
      <c r="G28" t="inlineStr">
        <is>
          <t>MALÅ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37171-2023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45154</v>
      </c>
      <c r="E29" s="1" t="n">
        <v>46322</v>
      </c>
      <c r="F29" t="inlineStr">
        <is>
          <t>VÄSTERBOTTENS LÄN</t>
        </is>
      </c>
      <c r="G29" t="inlineStr">
        <is>
          <t>MALÅ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46322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54841-2023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46322</v>
      </c>
      <c r="F31" t="inlineStr">
        <is>
          <t>VÄSTERBOTTENS LÄN</t>
        </is>
      </c>
      <c r="G31" t="inlineStr">
        <is>
          <t>MALÅ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46322</v>
      </c>
      <c r="F32" t="inlineStr">
        <is>
          <t>VÄSTERBOTTENS LÄN</t>
        </is>
      </c>
      <c r="G32" t="inlineStr">
        <is>
          <t>MALÅ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  <c r="Z32">
        <f>HYPERLINK("https://klasma.github.io/Logging_2418/knärot/A 41353-2023 karta knärot.png", "A 41353-2023")</f>
        <v/>
      </c>
      <c r="AA32">
        <f>HYPERLINK("https://klasma.github.io/Logging_2418/klagomål/A 41353-2023 FSC-klagomål.docx", "A 41353-2023")</f>
        <v/>
      </c>
      <c r="AB32">
        <f>HYPERLINK("https://klasma.github.io/Logging_2418/klagomålsmail/A 41353-2023 FSC-klagomål mail.docx", "A 41353-2023")</f>
        <v/>
      </c>
      <c r="AC32">
        <f>HYPERLINK("https://klasma.github.io/Logging_2418/tillsyn/A 41353-2023 tillsynsbegäran.docx", "A 41353-2023")</f>
        <v/>
      </c>
      <c r="AD32">
        <f>HYPERLINK("https://klasma.github.io/Logging_2418/tillsynsmail/A 41353-2023 tillsynsbegäran mail.docx", "A 41353-2023")</f>
        <v/>
      </c>
    </row>
    <row r="33" ht="15" customHeight="1">
      <c r="A33" t="inlineStr">
        <is>
          <t>A 15857-2023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45022</v>
      </c>
      <c r="E33" s="1" t="n">
        <v>46322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41212-2025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45898</v>
      </c>
      <c r="E34" s="1" t="n">
        <v>46322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17.6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41559-2025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45901</v>
      </c>
      <c r="E35" s="1" t="n">
        <v>46322</v>
      </c>
      <c r="F35" t="inlineStr">
        <is>
          <t>VÄSTERBOTTENS LÄN</t>
        </is>
      </c>
      <c r="G35" t="inlineStr">
        <is>
          <t>MALÅ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40943-2025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45897</v>
      </c>
      <c r="E36" s="1" t="n">
        <v>46322</v>
      </c>
      <c r="F36" t="inlineStr">
        <is>
          <t>VÄSTERBOTTENS LÄN</t>
        </is>
      </c>
      <c r="G36" t="inlineStr">
        <is>
          <t>MALÅ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41198-2025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46322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22.4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46322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45189</v>
      </c>
      <c r="E39" s="1" t="n">
        <v>46322</v>
      </c>
      <c r="F39" t="inlineStr">
        <is>
          <t>VÄSTERBOTTENS LÄN</t>
        </is>
      </c>
      <c r="G39" t="inlineStr">
        <is>
          <t>MALÅ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45209</v>
      </c>
      <c r="E40" s="1" t="n">
        <v>46322</v>
      </c>
      <c r="F40" t="inlineStr">
        <is>
          <t>VÄSTERBOTTENS LÄN</t>
        </is>
      </c>
      <c r="G40" t="inlineStr">
        <is>
          <t>MALÅ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41792-2023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46322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46322</v>
      </c>
      <c r="F42" t="inlineStr">
        <is>
          <t>VÄSTERBOTTENS LÄN</t>
        </is>
      </c>
      <c r="G42" t="inlineStr">
        <is>
          <t>MALÅ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46322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46322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46322</v>
      </c>
      <c r="F45" t="inlineStr">
        <is>
          <t>VÄSTERBOTTENS LÄN</t>
        </is>
      </c>
      <c r="G45" t="inlineStr">
        <is>
          <t>MALÅ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46322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30.8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46322</v>
      </c>
      <c r="F47" t="inlineStr">
        <is>
          <t>VÄSTERBOTTENS LÄN</t>
        </is>
      </c>
      <c r="G47" t="inlineStr">
        <is>
          <t>MALÅ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49434-2023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45211</v>
      </c>
      <c r="E48" s="1" t="n">
        <v>46322</v>
      </c>
      <c r="F48" t="inlineStr">
        <is>
          <t>VÄSTERBOTTENS LÄN</t>
        </is>
      </c>
      <c r="G48" t="inlineStr">
        <is>
          <t>MALÅ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46322</v>
      </c>
      <c r="F49" t="inlineStr">
        <is>
          <t>VÄSTERBOTTENS LÄN</t>
        </is>
      </c>
      <c r="G49" t="inlineStr">
        <is>
          <t>MALÅ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46322</v>
      </c>
      <c r="F50" t="inlineStr">
        <is>
          <t>VÄSTERBOTTENS LÄN</t>
        </is>
      </c>
      <c r="G50" t="inlineStr">
        <is>
          <t>MALÅ</t>
        </is>
      </c>
      <c r="I50" t="n">
        <v>27.9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60168-2024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45639</v>
      </c>
      <c r="E51" s="1" t="n">
        <v>46322</v>
      </c>
      <c r="F51" t="inlineStr">
        <is>
          <t>VÄSTERBOTTENS LÄN</t>
        </is>
      </c>
      <c r="G51" t="inlineStr">
        <is>
          <t>MALÅ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26998-2026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46185</v>
      </c>
      <c r="E52" s="1" t="n">
        <v>46322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13432-2025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46322</v>
      </c>
      <c r="F53" t="inlineStr">
        <is>
          <t>VÄSTERBOTTENS LÄN</t>
        </is>
      </c>
      <c r="G53" t="inlineStr">
        <is>
          <t>MALÅ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32767-2024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45516</v>
      </c>
      <c r="E54" s="1" t="n">
        <v>46322</v>
      </c>
      <c r="F54" t="inlineStr">
        <is>
          <t>VÄSTERBOTTENS LÄN</t>
        </is>
      </c>
      <c r="G54" t="inlineStr">
        <is>
          <t>MALÅ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45158</v>
      </c>
      <c r="E55" s="1" t="n">
        <v>46322</v>
      </c>
      <c r="F55" t="inlineStr">
        <is>
          <t>VÄSTERBOTTENS LÄN</t>
        </is>
      </c>
      <c r="G55" t="inlineStr">
        <is>
          <t>MALÅ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46063-2023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46322</v>
      </c>
      <c r="F56" t="inlineStr">
        <is>
          <t>VÄSTERBOTTENS LÄN</t>
        </is>
      </c>
      <c r="G56" t="inlineStr">
        <is>
          <t>MALÅ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45393</v>
      </c>
      <c r="E57" s="1" t="n">
        <v>46322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45202</v>
      </c>
      <c r="E58" s="1" t="n">
        <v>46322</v>
      </c>
      <c r="F58" t="inlineStr">
        <is>
          <t>VÄSTERBOTTENS LÄN</t>
        </is>
      </c>
      <c r="G58" t="inlineStr">
        <is>
          <t>MALÅ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46322</v>
      </c>
      <c r="F59" t="inlineStr">
        <is>
          <t>VÄSTERBOTTENS LÄN</t>
        </is>
      </c>
      <c r="G59" t="inlineStr">
        <is>
          <t>MALÅ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48348-2023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45201</v>
      </c>
      <c r="E60" s="1" t="n">
        <v>46322</v>
      </c>
      <c r="F60" t="inlineStr">
        <is>
          <t>VÄSTERBOTTENS LÄN</t>
        </is>
      </c>
      <c r="G60" t="inlineStr">
        <is>
          <t>MALÅ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45195</v>
      </c>
      <c r="E61" s="1" t="n">
        <v>46322</v>
      </c>
      <c r="F61" t="inlineStr">
        <is>
          <t>VÄSTERBOTTENS LÄN</t>
        </is>
      </c>
      <c r="G61" t="inlineStr">
        <is>
          <t>MALÅ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48034-2025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45932</v>
      </c>
      <c r="E62" s="1" t="n">
        <v>46322</v>
      </c>
      <c r="F62" t="inlineStr">
        <is>
          <t>VÄSTERBOTTENS LÄN</t>
        </is>
      </c>
      <c r="G62" t="inlineStr">
        <is>
          <t>MALÅ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45932</v>
      </c>
      <c r="E63" s="1" t="n">
        <v>46322</v>
      </c>
      <c r="F63" t="inlineStr">
        <is>
          <t>VÄSTERBOTTENS LÄN</t>
        </is>
      </c>
      <c r="G63" t="inlineStr">
        <is>
          <t>MALÅ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46322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45939</v>
      </c>
      <c r="E65" s="1" t="n">
        <v>46322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45939</v>
      </c>
      <c r="E66" s="1" t="n">
        <v>46322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46322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46322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11.7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45173</v>
      </c>
      <c r="E69" s="1" t="n">
        <v>46322</v>
      </c>
      <c r="F69" t="inlineStr">
        <is>
          <t>VÄSTERBOTTENS LÄN</t>
        </is>
      </c>
      <c r="G69" t="inlineStr">
        <is>
          <t>MALÅ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46322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46322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46189</v>
      </c>
      <c r="E72" s="1" t="n">
        <v>46322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9.9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46322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46322</v>
      </c>
      <c r="F74" t="inlineStr">
        <is>
          <t>VÄSTERBOTTENS LÄN</t>
        </is>
      </c>
      <c r="G74" t="inlineStr">
        <is>
          <t>MALÅ</t>
        </is>
      </c>
      <c r="H74" t="inlineStr">
        <is>
          <t>SCA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46322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23.5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46322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45190</v>
      </c>
      <c r="E77" s="1" t="n">
        <v>46322</v>
      </c>
      <c r="F77" t="inlineStr">
        <is>
          <t>VÄSTERBOTTENS LÄN</t>
        </is>
      </c>
      <c r="G77" t="inlineStr">
        <is>
          <t>MALÅ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46322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44792</v>
      </c>
      <c r="E79" s="1" t="n">
        <v>46322</v>
      </c>
      <c r="F79" t="inlineStr">
        <is>
          <t>VÄSTERBOTTENS LÄN</t>
        </is>
      </c>
      <c r="G79" t="inlineStr">
        <is>
          <t>MALÅ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68036-2021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46322</v>
      </c>
      <c r="F80" t="inlineStr">
        <is>
          <t>VÄSTERBOTTENS LÄN</t>
        </is>
      </c>
      <c r="G80" t="inlineStr">
        <is>
          <t>MALÅ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46322</v>
      </c>
      <c r="F81" t="inlineStr">
        <is>
          <t>VÄSTERBOTTENS LÄN</t>
        </is>
      </c>
      <c r="G81" t="inlineStr">
        <is>
          <t>MALÅ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45952</v>
      </c>
      <c r="E82" s="1" t="n">
        <v>46322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46322</v>
      </c>
      <c r="F83" t="inlineStr">
        <is>
          <t>VÄSTERBOTTENS LÄN</t>
        </is>
      </c>
      <c r="G83" t="inlineStr">
        <is>
          <t>MALÅ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46322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45952</v>
      </c>
      <c r="E85" s="1" t="n">
        <v>46322</v>
      </c>
      <c r="F85" t="inlineStr">
        <is>
          <t>VÄSTERBOTTENS LÄN</t>
        </is>
      </c>
      <c r="G85" t="inlineStr">
        <is>
          <t>MALÅ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46322</v>
      </c>
      <c r="F86" t="inlineStr">
        <is>
          <t>VÄSTERBOTTENS LÄN</t>
        </is>
      </c>
      <c r="G86" t="inlineStr">
        <is>
          <t>MALÅ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46322</v>
      </c>
      <c r="F87" t="inlineStr">
        <is>
          <t>VÄSTERBOTTENS LÄN</t>
        </is>
      </c>
      <c r="G87" t="inlineStr">
        <is>
          <t>MALÅ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46322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46322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36687-2023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45152</v>
      </c>
      <c r="E90" s="1" t="n">
        <v>46322</v>
      </c>
      <c r="F90" t="inlineStr">
        <is>
          <t>VÄSTERBOTTENS LÄN</t>
        </is>
      </c>
      <c r="G90" t="inlineStr">
        <is>
          <t>MALÅ</t>
        </is>
      </c>
      <c r="I90" t="n">
        <v>13.3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46322</v>
      </c>
      <c r="F91" t="inlineStr">
        <is>
          <t>VÄSTERBOTTENS LÄN</t>
        </is>
      </c>
      <c r="G91" t="inlineStr">
        <is>
          <t>MALÅ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46322</v>
      </c>
      <c r="F92" t="inlineStr">
        <is>
          <t>VÄSTERBOTTENS LÄN</t>
        </is>
      </c>
      <c r="G92" t="inlineStr">
        <is>
          <t>MALÅ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46322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46322</v>
      </c>
      <c r="F94" t="inlineStr">
        <is>
          <t>VÄSTERBOTTENS LÄN</t>
        </is>
      </c>
      <c r="G94" t="inlineStr">
        <is>
          <t>MALÅ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46322</v>
      </c>
      <c r="F95" t="inlineStr">
        <is>
          <t>VÄSTERBOTTENS LÄN</t>
        </is>
      </c>
      <c r="G95" t="inlineStr">
        <is>
          <t>MALÅ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46322</v>
      </c>
      <c r="F96" t="inlineStr">
        <is>
          <t>VÄSTERBOTTENS LÄN</t>
        </is>
      </c>
      <c r="G96" t="inlineStr">
        <is>
          <t>MALÅ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46322</v>
      </c>
      <c r="F97" t="inlineStr">
        <is>
          <t>VÄSTERBOTTENS LÄN</t>
        </is>
      </c>
      <c r="G97" t="inlineStr">
        <is>
          <t>MALÅ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46322</v>
      </c>
      <c r="F98" t="inlineStr">
        <is>
          <t>VÄSTERBOTTENS LÄN</t>
        </is>
      </c>
      <c r="G98" t="inlineStr">
        <is>
          <t>MALÅ</t>
        </is>
      </c>
      <c r="I98" t="n">
        <v>11.4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46322</v>
      </c>
      <c r="F99" t="inlineStr">
        <is>
          <t>VÄSTERBOTTENS LÄN</t>
        </is>
      </c>
      <c r="G99" t="inlineStr">
        <is>
          <t>MALÅ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46322</v>
      </c>
      <c r="F100" t="inlineStr">
        <is>
          <t>VÄSTERBOTTENS LÄN</t>
        </is>
      </c>
      <c r="G100" t="inlineStr">
        <is>
          <t>MALÅ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45217</v>
      </c>
      <c r="E101" s="1" t="n">
        <v>46322</v>
      </c>
      <c r="F101" t="inlineStr">
        <is>
          <t>VÄSTERBOTTENS LÄN</t>
        </is>
      </c>
      <c r="G101" t="inlineStr">
        <is>
          <t>MALÅ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46322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46322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54463-2025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45964</v>
      </c>
      <c r="E104" s="1" t="n">
        <v>46322</v>
      </c>
      <c r="F104" t="inlineStr">
        <is>
          <t>VÄSTERBOTTENS LÄN</t>
        </is>
      </c>
      <c r="G104" t="inlineStr">
        <is>
          <t>MALÅ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54455-2025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45964</v>
      </c>
      <c r="E105" s="1" t="n">
        <v>46322</v>
      </c>
      <c r="F105" t="inlineStr">
        <is>
          <t>VÄSTERBOTTENS LÄN</t>
        </is>
      </c>
      <c r="G105" t="inlineStr">
        <is>
          <t>MALÅ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46322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46322</v>
      </c>
      <c r="F107" t="inlineStr">
        <is>
          <t>VÄSTERBOTTENS LÄN</t>
        </is>
      </c>
      <c r="G107" t="inlineStr">
        <is>
          <t>MALÅ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45454</v>
      </c>
      <c r="E108" s="1" t="n">
        <v>46322</v>
      </c>
      <c r="F108" t="inlineStr">
        <is>
          <t>VÄSTERBOTTENS LÄN</t>
        </is>
      </c>
      <c r="G108" t="inlineStr">
        <is>
          <t>MALÅ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46322</v>
      </c>
      <c r="F109" t="inlineStr">
        <is>
          <t>VÄSTERBOTTENS LÄN</t>
        </is>
      </c>
      <c r="G109" t="inlineStr">
        <is>
          <t>MALÅ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46322</v>
      </c>
      <c r="F110" t="inlineStr">
        <is>
          <t>VÄSTERBOTTENS LÄN</t>
        </is>
      </c>
      <c r="G110" t="inlineStr">
        <is>
          <t>MALÅ</t>
        </is>
      </c>
      <c r="H110" t="inlineStr">
        <is>
          <t>Kyrkan</t>
        </is>
      </c>
      <c r="I110" t="n">
        <v>27.3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67383-2021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46322</v>
      </c>
      <c r="F111" t="inlineStr">
        <is>
          <t>VÄSTERBOTTENS LÄN</t>
        </is>
      </c>
      <c r="G111" t="inlineStr">
        <is>
          <t>MALÅ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46322</v>
      </c>
      <c r="F112" t="inlineStr">
        <is>
          <t>VÄSTERBOTTENS LÄN</t>
        </is>
      </c>
      <c r="G112" t="inlineStr">
        <is>
          <t>MALÅ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46322</v>
      </c>
      <c r="F113" t="inlineStr">
        <is>
          <t>VÄSTERBOTTENS LÄN</t>
        </is>
      </c>
      <c r="G113" t="inlineStr">
        <is>
          <t>MALÅ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46322</v>
      </c>
      <c r="F114" t="inlineStr">
        <is>
          <t>VÄSTERBOTTENS LÄN</t>
        </is>
      </c>
      <c r="G114" t="inlineStr">
        <is>
          <t>MALÅ</t>
        </is>
      </c>
      <c r="I114" t="n">
        <v>10.2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46322</v>
      </c>
      <c r="F115" t="inlineStr">
        <is>
          <t>VÄSTERBOTTENS LÄN</t>
        </is>
      </c>
      <c r="G115" t="inlineStr">
        <is>
          <t>MALÅ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46322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46322</v>
      </c>
      <c r="F117" t="inlineStr">
        <is>
          <t>VÄSTERBOTTENS LÄN</t>
        </is>
      </c>
      <c r="G117" t="inlineStr">
        <is>
          <t>MALÅ</t>
        </is>
      </c>
      <c r="I117" t="n">
        <v>22.9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46196</v>
      </c>
      <c r="E118" s="1" t="n">
        <v>46322</v>
      </c>
      <c r="F118" t="inlineStr">
        <is>
          <t>VÄSTERBOTTENS LÄN</t>
        </is>
      </c>
      <c r="G118" t="inlineStr">
        <is>
          <t>MALÅ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20234-2023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45054</v>
      </c>
      <c r="E119" s="1" t="n">
        <v>46322</v>
      </c>
      <c r="F119" t="inlineStr">
        <is>
          <t>VÄSTERBOTTENS LÄN</t>
        </is>
      </c>
      <c r="G119" t="inlineStr">
        <is>
          <t>MALÅ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46322</v>
      </c>
      <c r="F120" t="inlineStr">
        <is>
          <t>VÄSTERBOTTENS LÄN</t>
        </is>
      </c>
      <c r="G120" t="inlineStr">
        <is>
          <t>MALÅ</t>
        </is>
      </c>
      <c r="I120" t="n">
        <v>15.5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46322</v>
      </c>
      <c r="F121" t="inlineStr">
        <is>
          <t>VÄSTERBOTTENS LÄN</t>
        </is>
      </c>
      <c r="G121" t="inlineStr">
        <is>
          <t>MALÅ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46322</v>
      </c>
      <c r="F122" t="inlineStr">
        <is>
          <t>VÄSTERBOTTENS LÄN</t>
        </is>
      </c>
      <c r="G122" t="inlineStr">
        <is>
          <t>MALÅ</t>
        </is>
      </c>
      <c r="I122" t="n">
        <v>16.6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46322</v>
      </c>
      <c r="F123" t="inlineStr">
        <is>
          <t>VÄSTERBOTTENS LÄN</t>
        </is>
      </c>
      <c r="G123" t="inlineStr">
        <is>
          <t>MALÅ</t>
        </is>
      </c>
      <c r="I123" t="n">
        <v>20.7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46322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46322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46322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46322</v>
      </c>
      <c r="F127" t="inlineStr">
        <is>
          <t>VÄSTERBOTTENS LÄN</t>
        </is>
      </c>
      <c r="G127" t="inlineStr">
        <is>
          <t>MALÅ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46322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46322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46322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45229</v>
      </c>
      <c r="E131" s="1" t="n">
        <v>46322</v>
      </c>
      <c r="F131" t="inlineStr">
        <is>
          <t>VÄSTERBOTTENS LÄN</t>
        </is>
      </c>
      <c r="G131" t="inlineStr">
        <is>
          <t>MALÅ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46322</v>
      </c>
      <c r="F132" t="inlineStr">
        <is>
          <t>VÄSTERBOTTENS LÄN</t>
        </is>
      </c>
      <c r="G132" t="inlineStr">
        <is>
          <t>MALÅ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46322</v>
      </c>
      <c r="F133" t="inlineStr">
        <is>
          <t>VÄSTERBOTTENS LÄN</t>
        </is>
      </c>
      <c r="G133" t="inlineStr">
        <is>
          <t>MALÅ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46322</v>
      </c>
      <c r="F134" t="inlineStr">
        <is>
          <t>VÄSTERBOTTENS LÄN</t>
        </is>
      </c>
      <c r="G134" t="inlineStr">
        <is>
          <t>MALÅ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46322</v>
      </c>
      <c r="F135" t="inlineStr">
        <is>
          <t>VÄSTERBOTTENS LÄN</t>
        </is>
      </c>
      <c r="G135" t="inlineStr">
        <is>
          <t>MALÅ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46322</v>
      </c>
      <c r="F136" t="inlineStr">
        <is>
          <t>VÄSTERBOTTENS LÄN</t>
        </is>
      </c>
      <c r="G136" t="inlineStr">
        <is>
          <t>MALÅ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46322</v>
      </c>
      <c r="F137" t="inlineStr">
        <is>
          <t>VÄSTERBOTTENS LÄN</t>
        </is>
      </c>
      <c r="G137" t="inlineStr">
        <is>
          <t>MALÅ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45227</v>
      </c>
      <c r="E138" s="1" t="n">
        <v>46322</v>
      </c>
      <c r="F138" t="inlineStr">
        <is>
          <t>VÄSTERBOTTENS LÄN</t>
        </is>
      </c>
      <c r="G138" t="inlineStr">
        <is>
          <t>MALÅ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46322</v>
      </c>
      <c r="F139" t="inlineStr">
        <is>
          <t>VÄSTERBOTTENS LÄN</t>
        </is>
      </c>
      <c r="G139" t="inlineStr">
        <is>
          <t>MALÅ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46322</v>
      </c>
      <c r="F140" t="inlineStr">
        <is>
          <t>VÄSTERBOTTENS LÄN</t>
        </is>
      </c>
      <c r="G140" t="inlineStr">
        <is>
          <t>MALÅ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46322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46322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46198</v>
      </c>
      <c r="E143" s="1" t="n">
        <v>46322</v>
      </c>
      <c r="F143" t="inlineStr">
        <is>
          <t>VÄSTERBOTTENS LÄN</t>
        </is>
      </c>
      <c r="G143" t="inlineStr">
        <is>
          <t>MALÅ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46322</v>
      </c>
      <c r="F145" t="inlineStr">
        <is>
          <t>VÄSTERBOTTENS LÄN</t>
        </is>
      </c>
      <c r="G145" t="inlineStr">
        <is>
          <t>MALÅ</t>
        </is>
      </c>
      <c r="I145" t="n">
        <v>9.1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46322</v>
      </c>
      <c r="F146" t="inlineStr">
        <is>
          <t>VÄSTERBOTTENS LÄN</t>
        </is>
      </c>
      <c r="G146" t="inlineStr">
        <is>
          <t>MALÅ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45179</v>
      </c>
      <c r="E147" s="1" t="n">
        <v>46322</v>
      </c>
      <c r="F147" t="inlineStr">
        <is>
          <t>VÄSTERBOTTENS LÄN</t>
        </is>
      </c>
      <c r="G147" t="inlineStr">
        <is>
          <t>MALÅ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45589</v>
      </c>
      <c r="E148" s="1" t="n">
        <v>46322</v>
      </c>
      <c r="F148" t="inlineStr">
        <is>
          <t>VÄSTERBOTTENS LÄN</t>
        </is>
      </c>
      <c r="G148" t="inlineStr">
        <is>
          <t>MALÅ</t>
        </is>
      </c>
      <c r="H148" t="inlineStr">
        <is>
          <t>SCA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46322</v>
      </c>
      <c r="F149" t="inlineStr">
        <is>
          <t>VÄSTERBOTTENS LÄN</t>
        </is>
      </c>
      <c r="G149" t="inlineStr">
        <is>
          <t>MALÅ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46322</v>
      </c>
      <c r="F150" t="inlineStr">
        <is>
          <t>VÄSTERBOTTENS LÄN</t>
        </is>
      </c>
      <c r="G150" t="inlineStr">
        <is>
          <t>MALÅ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44426-2023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45188</v>
      </c>
      <c r="E151" s="1" t="n">
        <v>46322</v>
      </c>
      <c r="F151" t="inlineStr">
        <is>
          <t>VÄSTERBOTTENS LÄN</t>
        </is>
      </c>
      <c r="G151" t="inlineStr">
        <is>
          <t>MALÅ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46322</v>
      </c>
      <c r="F152" t="inlineStr">
        <is>
          <t>VÄSTERBOTTENS LÄN</t>
        </is>
      </c>
      <c r="G152" t="inlineStr">
        <is>
          <t>MALÅ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46322</v>
      </c>
      <c r="F153" t="inlineStr">
        <is>
          <t>VÄSTERBOTTENS LÄN</t>
        </is>
      </c>
      <c r="G153" t="inlineStr">
        <is>
          <t>MALÅ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46322</v>
      </c>
      <c r="F154" t="inlineStr">
        <is>
          <t>VÄSTERBOTTENS LÄN</t>
        </is>
      </c>
      <c r="G154" t="inlineStr">
        <is>
          <t>MALÅ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46322</v>
      </c>
      <c r="F155" t="inlineStr">
        <is>
          <t>VÄSTERBOTTENS LÄN</t>
        </is>
      </c>
      <c r="G155" t="inlineStr">
        <is>
          <t>MALÅ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45178</v>
      </c>
      <c r="E156" s="1" t="n">
        <v>46322</v>
      </c>
      <c r="F156" t="inlineStr">
        <is>
          <t>VÄSTERBOTTENS LÄN</t>
        </is>
      </c>
      <c r="G156" t="inlineStr">
        <is>
          <t>MALÅ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46322</v>
      </c>
      <c r="F157" t="inlineStr">
        <is>
          <t>VÄSTERBOTTENS LÄN</t>
        </is>
      </c>
      <c r="G157" t="inlineStr">
        <is>
          <t>MALÅ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46322</v>
      </c>
      <c r="F158" t="inlineStr">
        <is>
          <t>VÄSTERBOTTENS LÄN</t>
        </is>
      </c>
      <c r="G158" t="inlineStr">
        <is>
          <t>MALÅ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46322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44939</v>
      </c>
      <c r="E160" s="1" t="n">
        <v>46322</v>
      </c>
      <c r="F160" t="inlineStr">
        <is>
          <t>VÄSTERBOTTENS LÄN</t>
        </is>
      </c>
      <c r="G160" t="inlineStr">
        <is>
          <t>MALÅ</t>
        </is>
      </c>
      <c r="H160" t="inlineStr">
        <is>
          <t>SCA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46322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46322</v>
      </c>
      <c r="F162" t="inlineStr">
        <is>
          <t>VÄSTERBOTTENS LÄN</t>
        </is>
      </c>
      <c r="G162" t="inlineStr">
        <is>
          <t>MALÅ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46322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46322</v>
      </c>
      <c r="F164" t="inlineStr">
        <is>
          <t>VÄSTERBOTTENS LÄN</t>
        </is>
      </c>
      <c r="G164" t="inlineStr">
        <is>
          <t>MALÅ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46322</v>
      </c>
      <c r="F165" t="inlineStr">
        <is>
          <t>VÄSTERBOTTENS LÄN</t>
        </is>
      </c>
      <c r="G165" t="inlineStr">
        <is>
          <t>MALÅ</t>
        </is>
      </c>
      <c r="I165" t="n">
        <v>10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46322</v>
      </c>
      <c r="F166" t="inlineStr">
        <is>
          <t>VÄSTERBOTTENS LÄN</t>
        </is>
      </c>
      <c r="G166" t="inlineStr">
        <is>
          <t>MALÅ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46322</v>
      </c>
      <c r="F167" t="inlineStr">
        <is>
          <t>VÄSTERBOTTENS LÄN</t>
        </is>
      </c>
      <c r="G167" t="inlineStr">
        <is>
          <t>MALÅ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46322</v>
      </c>
      <c r="F168" t="inlineStr">
        <is>
          <t>VÄSTERBOTTENS LÄN</t>
        </is>
      </c>
      <c r="G168" t="inlineStr">
        <is>
          <t>MALÅ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46322</v>
      </c>
      <c r="F169" t="inlineStr">
        <is>
          <t>VÄSTERBOTTENS LÄN</t>
        </is>
      </c>
      <c r="G169" t="inlineStr">
        <is>
          <t>MALÅ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46322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46322</v>
      </c>
      <c r="F171" t="inlineStr">
        <is>
          <t>VÄSTERBOTTENS LÄN</t>
        </is>
      </c>
      <c r="G171" t="inlineStr">
        <is>
          <t>MALÅ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46322</v>
      </c>
      <c r="F172" t="inlineStr">
        <is>
          <t>VÄSTERBOTTENS LÄN</t>
        </is>
      </c>
      <c r="G172" t="inlineStr">
        <is>
          <t>MALÅ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45154</v>
      </c>
      <c r="E173" s="1" t="n">
        <v>46322</v>
      </c>
      <c r="F173" t="inlineStr">
        <is>
          <t>VÄSTERBOTTENS LÄN</t>
        </is>
      </c>
      <c r="G173" t="inlineStr">
        <is>
          <t>MALÅ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46322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45861</v>
      </c>
      <c r="E175" s="1" t="n">
        <v>46322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46322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45860</v>
      </c>
      <c r="E177" s="1" t="n">
        <v>46322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46322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46322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37.2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45861</v>
      </c>
      <c r="E180" s="1" t="n">
        <v>46322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46322</v>
      </c>
      <c r="F181" t="inlineStr">
        <is>
          <t>VÄSTERBOTTENS LÄN</t>
        </is>
      </c>
      <c r="G181" t="inlineStr">
        <is>
          <t>MALÅ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46322</v>
      </c>
      <c r="F182" t="inlineStr">
        <is>
          <t>VÄSTERBOTTENS LÄN</t>
        </is>
      </c>
      <c r="G182" t="inlineStr">
        <is>
          <t>MALÅ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46042</v>
      </c>
      <c r="E183" s="1" t="n">
        <v>46322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46322</v>
      </c>
      <c r="F184" t="inlineStr">
        <is>
          <t>VÄSTERBOTTENS LÄN</t>
        </is>
      </c>
      <c r="G184" t="inlineStr">
        <is>
          <t>MALÅ</t>
        </is>
      </c>
      <c r="H184" t="inlineStr">
        <is>
          <t>SCA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46322</v>
      </c>
      <c r="F185" t="inlineStr">
        <is>
          <t>VÄSTERBOTTENS LÄN</t>
        </is>
      </c>
      <c r="G185" t="inlineStr">
        <is>
          <t>MALÅ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46322</v>
      </c>
      <c r="F186" t="inlineStr">
        <is>
          <t>VÄSTERBOTTENS LÄN</t>
        </is>
      </c>
      <c r="G186" t="inlineStr">
        <is>
          <t>MALÅ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60624-2024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46322</v>
      </c>
      <c r="F187" t="inlineStr">
        <is>
          <t>VÄSTERBOTTENS LÄN</t>
        </is>
      </c>
      <c r="G187" t="inlineStr">
        <is>
          <t>MALÅ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46322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44967</v>
      </c>
      <c r="E189" s="1" t="n">
        <v>46322</v>
      </c>
      <c r="F189" t="inlineStr">
        <is>
          <t>VÄSTERBOTTENS LÄN</t>
        </is>
      </c>
      <c r="G189" t="inlineStr">
        <is>
          <t>MALÅ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45875</v>
      </c>
      <c r="E190" s="1" t="n">
        <v>46322</v>
      </c>
      <c r="F190" t="inlineStr">
        <is>
          <t>VÄSTERBOTTENS LÄN</t>
        </is>
      </c>
      <c r="G190" t="inlineStr">
        <is>
          <t>MALÅ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46322</v>
      </c>
      <c r="F191" t="inlineStr">
        <is>
          <t>VÄSTERBOTTENS LÄN</t>
        </is>
      </c>
      <c r="G191" t="inlineStr">
        <is>
          <t>MALÅ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45178</v>
      </c>
      <c r="E192" s="1" t="n">
        <v>46322</v>
      </c>
      <c r="F192" t="inlineStr">
        <is>
          <t>VÄSTERBOTTENS LÄN</t>
        </is>
      </c>
      <c r="G192" t="inlineStr">
        <is>
          <t>MALÅ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46322</v>
      </c>
      <c r="F193" t="inlineStr">
        <is>
          <t>VÄSTERBOTTENS LÄN</t>
        </is>
      </c>
      <c r="G193" t="inlineStr">
        <is>
          <t>MALÅ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46322</v>
      </c>
      <c r="F194" t="inlineStr">
        <is>
          <t>VÄSTERBOTTENS LÄN</t>
        </is>
      </c>
      <c r="G194" t="inlineStr">
        <is>
          <t>MALÅ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46322</v>
      </c>
      <c r="F195" t="inlineStr">
        <is>
          <t>VÄSTERBOTTENS LÄN</t>
        </is>
      </c>
      <c r="G195" t="inlineStr">
        <is>
          <t>MALÅ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46322</v>
      </c>
      <c r="F196" t="inlineStr">
        <is>
          <t>VÄSTERBOTTENS LÄN</t>
        </is>
      </c>
      <c r="G196" t="inlineStr">
        <is>
          <t>MALÅ</t>
        </is>
      </c>
      <c r="I196" t="n">
        <v>16.2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30502-2026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46210</v>
      </c>
      <c r="E197" s="1" t="n">
        <v>46322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46322</v>
      </c>
      <c r="F198" t="inlineStr">
        <is>
          <t>VÄSTERBOTTENS LÄN</t>
        </is>
      </c>
      <c r="G198" t="inlineStr">
        <is>
          <t>MALÅ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46322</v>
      </c>
      <c r="F199" t="inlineStr">
        <is>
          <t>VÄSTERBOTTENS LÄN</t>
        </is>
      </c>
      <c r="G199" t="inlineStr">
        <is>
          <t>MALÅ</t>
        </is>
      </c>
      <c r="H199" t="inlineStr">
        <is>
          <t>Kyrkan</t>
        </is>
      </c>
      <c r="I199" t="n">
        <v>84.5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36706-2023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46322</v>
      </c>
      <c r="F200" t="inlineStr">
        <is>
          <t>VÄSTERBOTTENS LÄN</t>
        </is>
      </c>
      <c r="G200" t="inlineStr">
        <is>
          <t>MALÅ</t>
        </is>
      </c>
      <c r="I200" t="n">
        <v>41.7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46322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8648-2026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46066</v>
      </c>
      <c r="E202" s="1" t="n">
        <v>46322</v>
      </c>
      <c r="F202" t="inlineStr">
        <is>
          <t>VÄSTERBOTTENS LÄN</t>
        </is>
      </c>
      <c r="G202" t="inlineStr">
        <is>
          <t>MALÅ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46322</v>
      </c>
      <c r="F203" t="inlineStr">
        <is>
          <t>VÄSTERBOTTENS LÄN</t>
        </is>
      </c>
      <c r="G203" t="inlineStr">
        <is>
          <t>MALÅ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46072</v>
      </c>
      <c r="E204" s="1" t="n">
        <v>46322</v>
      </c>
      <c r="F204" t="inlineStr">
        <is>
          <t>VÄSTERBOTTENS LÄN</t>
        </is>
      </c>
      <c r="G204" t="inlineStr">
        <is>
          <t>MALÅ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44881</v>
      </c>
      <c r="E205" s="1" t="n">
        <v>46322</v>
      </c>
      <c r="F205" t="inlineStr">
        <is>
          <t>VÄSTERBOTTENS LÄN</t>
        </is>
      </c>
      <c r="G205" t="inlineStr">
        <is>
          <t>MALÅ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46322</v>
      </c>
      <c r="F206" t="inlineStr">
        <is>
          <t>VÄSTERBOTTENS LÄN</t>
        </is>
      </c>
      <c r="G206" t="inlineStr">
        <is>
          <t>MALÅ</t>
        </is>
      </c>
      <c r="I206" t="n">
        <v>73.7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46223</v>
      </c>
      <c r="E207" s="1" t="n">
        <v>46322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46223</v>
      </c>
      <c r="E208" s="1" t="n">
        <v>46322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46322</v>
      </c>
      <c r="F209" t="inlineStr">
        <is>
          <t>VÄSTERBOTTENS LÄN</t>
        </is>
      </c>
      <c r="G209" t="inlineStr">
        <is>
          <t>MALÅ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46322</v>
      </c>
      <c r="F210" t="inlineStr">
        <is>
          <t>VÄSTERBOTTENS LÄN</t>
        </is>
      </c>
      <c r="G210" t="inlineStr">
        <is>
          <t>MALÅ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46322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45170</v>
      </c>
      <c r="E212" s="1" t="n">
        <v>46322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26853-2026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46185</v>
      </c>
      <c r="E213" s="1" t="n">
        <v>46322</v>
      </c>
      <c r="F213" t="inlineStr">
        <is>
          <t>VÄSTERBOTTENS LÄN</t>
        </is>
      </c>
      <c r="G213" t="inlineStr">
        <is>
          <t>MALÅ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45201</v>
      </c>
      <c r="E214" s="1" t="n">
        <v>46322</v>
      </c>
      <c r="F214" t="inlineStr">
        <is>
          <t>VÄSTERBOTTENS LÄN</t>
        </is>
      </c>
      <c r="G214" t="inlineStr">
        <is>
          <t>MALÅ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46232</v>
      </c>
      <c r="E215" s="1" t="n">
        <v>46322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13773-2026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46322</v>
      </c>
      <c r="F216" t="inlineStr">
        <is>
          <t>VÄSTERBOTTENS LÄN</t>
        </is>
      </c>
      <c r="G216" t="inlineStr">
        <is>
          <t>MALÅ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46097</v>
      </c>
      <c r="E217" s="1" t="n">
        <v>46322</v>
      </c>
      <c r="F217" t="inlineStr">
        <is>
          <t>VÄSTERBOTTENS LÄN</t>
        </is>
      </c>
      <c r="G217" t="inlineStr">
        <is>
          <t>MALÅ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45232</v>
      </c>
      <c r="E218" s="1" t="n">
        <v>46322</v>
      </c>
      <c r="F218" t="inlineStr">
        <is>
          <t>VÄSTERBOTTENS LÄN</t>
        </is>
      </c>
      <c r="G218" t="inlineStr">
        <is>
          <t>MALÅ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46322</v>
      </c>
      <c r="F219" t="inlineStr">
        <is>
          <t>VÄSTERBOTTENS LÄN</t>
        </is>
      </c>
      <c r="G219" t="inlineStr">
        <is>
          <t>MALÅ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46322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46322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45176</v>
      </c>
      <c r="E222" s="1" t="n">
        <v>46322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46322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19.7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46322</v>
      </c>
      <c r="F224" t="inlineStr">
        <is>
          <t>VÄSTERBOTTENS LÄN</t>
        </is>
      </c>
      <c r="G224" t="inlineStr">
        <is>
          <t>MALÅ</t>
        </is>
      </c>
      <c r="I224" t="n">
        <v>147.1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45190</v>
      </c>
      <c r="E225" s="1" t="n">
        <v>46322</v>
      </c>
      <c r="F225" t="inlineStr">
        <is>
          <t>VÄSTERBOTTENS LÄN</t>
        </is>
      </c>
      <c r="G225" t="inlineStr">
        <is>
          <t>MALÅ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46322</v>
      </c>
      <c r="F226" t="inlineStr">
        <is>
          <t>VÄSTERBOTTENS LÄN</t>
        </is>
      </c>
      <c r="G226" t="inlineStr">
        <is>
          <t>MALÅ</t>
        </is>
      </c>
      <c r="I226" t="n">
        <v>15.7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45153</v>
      </c>
      <c r="E227" s="1" t="n">
        <v>46322</v>
      </c>
      <c r="F227" t="inlineStr">
        <is>
          <t>VÄSTERBOTTENS LÄN</t>
        </is>
      </c>
      <c r="G227" t="inlineStr">
        <is>
          <t>MALÅ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46322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46322</v>
      </c>
      <c r="F229" t="inlineStr">
        <is>
          <t>VÄSTERBOTTENS LÄN</t>
        </is>
      </c>
      <c r="G229" t="inlineStr">
        <is>
          <t>MALÅ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46322</v>
      </c>
      <c r="F230" t="inlineStr">
        <is>
          <t>VÄSTERBOTTENS LÄN</t>
        </is>
      </c>
      <c r="G230" t="inlineStr">
        <is>
          <t>MALÅ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46322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55.9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46322</v>
      </c>
      <c r="F232" t="inlineStr">
        <is>
          <t>VÄSTERBOTTENS LÄN</t>
        </is>
      </c>
      <c r="G232" t="inlineStr">
        <is>
          <t>MALÅ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46322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46322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46322</v>
      </c>
      <c r="F235" t="inlineStr">
        <is>
          <t>VÄSTERBOTTENS LÄN</t>
        </is>
      </c>
      <c r="G235" t="inlineStr">
        <is>
          <t>MALÅ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45201</v>
      </c>
      <c r="E236" s="1" t="n">
        <v>46322</v>
      </c>
      <c r="F236" t="inlineStr">
        <is>
          <t>VÄSTERBOTTENS LÄN</t>
        </is>
      </c>
      <c r="G236" t="inlineStr">
        <is>
          <t>MALÅ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46322</v>
      </c>
      <c r="F237" t="inlineStr">
        <is>
          <t>VÄSTERBOTTENS LÄN</t>
        </is>
      </c>
      <c r="G237" t="inlineStr">
        <is>
          <t>MALÅ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46322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46322</v>
      </c>
      <c r="F239" t="inlineStr">
        <is>
          <t>VÄSTERBOTTENS LÄN</t>
        </is>
      </c>
      <c r="G239" t="inlineStr">
        <is>
          <t>MALÅ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44575</v>
      </c>
      <c r="E240" s="1" t="n">
        <v>46322</v>
      </c>
      <c r="F240" t="inlineStr">
        <is>
          <t>VÄSTERBOTTENS LÄN</t>
        </is>
      </c>
      <c r="G240" t="inlineStr">
        <is>
          <t>MALÅ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46322</v>
      </c>
      <c r="F241" t="inlineStr">
        <is>
          <t>VÄSTERBOTTENS LÄN</t>
        </is>
      </c>
      <c r="G241" t="inlineStr">
        <is>
          <t>MALÅ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45193</v>
      </c>
      <c r="E242" s="1" t="n">
        <v>46322</v>
      </c>
      <c r="F242" t="inlineStr">
        <is>
          <t>VÄSTERBOTTENS LÄN</t>
        </is>
      </c>
      <c r="G242" t="inlineStr">
        <is>
          <t>MALÅ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45193</v>
      </c>
      <c r="E243" s="1" t="n">
        <v>46322</v>
      </c>
      <c r="F243" t="inlineStr">
        <is>
          <t>VÄSTERBOTTENS LÄN</t>
        </is>
      </c>
      <c r="G243" t="inlineStr">
        <is>
          <t>MALÅ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45384</v>
      </c>
      <c r="E244" s="1" t="n">
        <v>46322</v>
      </c>
      <c r="F244" t="inlineStr">
        <is>
          <t>VÄSTERBOTTENS LÄN</t>
        </is>
      </c>
      <c r="G244" t="inlineStr">
        <is>
          <t>MALÅ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45504</v>
      </c>
      <c r="E245" s="1" t="n">
        <v>46322</v>
      </c>
      <c r="F245" t="inlineStr">
        <is>
          <t>VÄSTERBOTTENS LÄN</t>
        </is>
      </c>
      <c r="G245" t="inlineStr">
        <is>
          <t>MALÅ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45595</v>
      </c>
      <c r="E246" s="1" t="n">
        <v>46322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46322</v>
      </c>
      <c r="F247" t="inlineStr">
        <is>
          <t>VÄSTERBOTTENS LÄN</t>
        </is>
      </c>
      <c r="G247" t="inlineStr">
        <is>
          <t>MALÅ</t>
        </is>
      </c>
      <c r="I247" t="n">
        <v>26.3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46322</v>
      </c>
      <c r="F248" t="inlineStr">
        <is>
          <t>VÄSTERBOTTENS LÄN</t>
        </is>
      </c>
      <c r="G248" t="inlineStr">
        <is>
          <t>MALÅ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46289</v>
      </c>
      <c r="E249" s="1" t="n">
        <v>46322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12797-2023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45000</v>
      </c>
      <c r="E250" s="1" t="n">
        <v>46322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46322</v>
      </c>
      <c r="F251" t="inlineStr">
        <is>
          <t>VÄSTERBOTTENS LÄN</t>
        </is>
      </c>
      <c r="G251" t="inlineStr">
        <is>
          <t>MALÅ</t>
        </is>
      </c>
      <c r="H251" t="inlineStr">
        <is>
          <t>SCA</t>
        </is>
      </c>
      <c r="I251" t="n">
        <v>11.5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45002</v>
      </c>
      <c r="E252" s="1" t="n">
        <v>46322</v>
      </c>
      <c r="F252" t="inlineStr">
        <is>
          <t>VÄSTERBOTTENS LÄN</t>
        </is>
      </c>
      <c r="G252" t="inlineStr">
        <is>
          <t>MALÅ</t>
        </is>
      </c>
      <c r="H252" t="inlineStr">
        <is>
          <t>SCA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46246</v>
      </c>
      <c r="E253" s="1" t="n">
        <v>46322</v>
      </c>
      <c r="F253" t="inlineStr">
        <is>
          <t>VÄSTERBOTTENS LÄN</t>
        </is>
      </c>
      <c r="G253" t="inlineStr">
        <is>
          <t>MALÅ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46322</v>
      </c>
      <c r="F254" t="inlineStr">
        <is>
          <t>VÄSTERBOTTENS LÄN</t>
        </is>
      </c>
      <c r="G254" t="inlineStr">
        <is>
          <t>MALÅ</t>
        </is>
      </c>
      <c r="I254" t="n">
        <v>8.9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46322</v>
      </c>
      <c r="F255" t="inlineStr">
        <is>
          <t>VÄSTERBOTTENS LÄN</t>
        </is>
      </c>
      <c r="G255" t="inlineStr">
        <is>
          <t>MALÅ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46322</v>
      </c>
      <c r="F256" t="inlineStr">
        <is>
          <t>VÄSTERBOTTENS LÄN</t>
        </is>
      </c>
      <c r="G256" t="inlineStr">
        <is>
          <t>MALÅ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46322</v>
      </c>
      <c r="F257" t="inlineStr">
        <is>
          <t>VÄSTERBOTTENS LÄN</t>
        </is>
      </c>
      <c r="G257" t="inlineStr">
        <is>
          <t>MALÅ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39653-2026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46289</v>
      </c>
      <c r="E258" s="1" t="n">
        <v>46322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46322</v>
      </c>
      <c r="F259" t="inlineStr">
        <is>
          <t>VÄSTERBOTTENS LÄN</t>
        </is>
      </c>
      <c r="G259" t="inlineStr">
        <is>
          <t>MALÅ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44911</v>
      </c>
      <c r="E260" s="1" t="n">
        <v>46322</v>
      </c>
      <c r="F260" t="inlineStr">
        <is>
          <t>VÄSTERBOTTENS LÄN</t>
        </is>
      </c>
      <c r="G260" t="inlineStr">
        <is>
          <t>MALÅ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45540</v>
      </c>
      <c r="E261" s="1" t="n">
        <v>46322</v>
      </c>
      <c r="F261" t="inlineStr">
        <is>
          <t>VÄSTERBOTTENS LÄN</t>
        </is>
      </c>
      <c r="G261" t="inlineStr">
        <is>
          <t>MALÅ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46289</v>
      </c>
      <c r="E262" s="1" t="n">
        <v>46322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46289</v>
      </c>
      <c r="E263" s="1" t="n">
        <v>46322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46322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39639-2026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46289</v>
      </c>
      <c r="E265" s="1" t="n">
        <v>46322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45193</v>
      </c>
      <c r="E266" s="1" t="n">
        <v>46322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46322</v>
      </c>
      <c r="F267" t="inlineStr">
        <is>
          <t>VÄSTERBOTTENS LÄN</t>
        </is>
      </c>
      <c r="G267" t="inlineStr">
        <is>
          <t>MALÅ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67679-2021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44524</v>
      </c>
      <c r="E268" s="1" t="n">
        <v>46322</v>
      </c>
      <c r="F268" t="inlineStr">
        <is>
          <t>VÄSTERBOTTENS LÄN</t>
        </is>
      </c>
      <c r="G268" t="inlineStr">
        <is>
          <t>MALÅ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46322</v>
      </c>
      <c r="F269" t="inlineStr">
        <is>
          <t>VÄSTERBOTTENS LÄN</t>
        </is>
      </c>
      <c r="G269" t="inlineStr">
        <is>
          <t>MALÅ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46322</v>
      </c>
      <c r="F270" t="inlineStr">
        <is>
          <t>VÄSTERBOTTENS LÄN</t>
        </is>
      </c>
      <c r="G270" t="inlineStr">
        <is>
          <t>MALÅ</t>
        </is>
      </c>
      <c r="I270" t="n">
        <v>19.2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45153</v>
      </c>
      <c r="E271" s="1" t="n">
        <v>46322</v>
      </c>
      <c r="F271" t="inlineStr">
        <is>
          <t>VÄSTERBOTTENS LÄN</t>
        </is>
      </c>
      <c r="G271" t="inlineStr">
        <is>
          <t>MALÅ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46322</v>
      </c>
      <c r="F272" t="inlineStr">
        <is>
          <t>VÄSTERBOTTENS LÄN</t>
        </is>
      </c>
      <c r="G272" t="inlineStr">
        <is>
          <t>MALÅ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46322</v>
      </c>
      <c r="F273" t="inlineStr">
        <is>
          <t>VÄSTERBOTTENS LÄN</t>
        </is>
      </c>
      <c r="G273" t="inlineStr">
        <is>
          <t>MALÅ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46322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18.7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46322</v>
      </c>
      <c r="F275" t="inlineStr">
        <is>
          <t>VÄSTERBOTTENS LÄN</t>
        </is>
      </c>
      <c r="G275" t="inlineStr">
        <is>
          <t>MALÅ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45741</v>
      </c>
      <c r="E276" s="1" t="n">
        <v>46322</v>
      </c>
      <c r="F276" t="inlineStr">
        <is>
          <t>VÄSTERBOTTENS LÄN</t>
        </is>
      </c>
      <c r="G276" t="inlineStr">
        <is>
          <t>MALÅ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45149</v>
      </c>
      <c r="E277" s="1" t="n">
        <v>46322</v>
      </c>
      <c r="F277" t="inlineStr">
        <is>
          <t>VÄSTERBOTTENS LÄN</t>
        </is>
      </c>
      <c r="G277" t="inlineStr">
        <is>
          <t>MALÅ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46322</v>
      </c>
      <c r="F278" t="inlineStr">
        <is>
          <t>VÄSTERBOTTENS LÄN</t>
        </is>
      </c>
      <c r="G278" t="inlineStr">
        <is>
          <t>MALÅ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46322</v>
      </c>
      <c r="F279" t="inlineStr">
        <is>
          <t>VÄSTERBOTTENS LÄN</t>
        </is>
      </c>
      <c r="G279" t="inlineStr">
        <is>
          <t>MALÅ</t>
        </is>
      </c>
      <c r="I279" t="n">
        <v>48.2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46322</v>
      </c>
      <c r="F280" t="inlineStr">
        <is>
          <t>VÄSTERBOTTENS LÄN</t>
        </is>
      </c>
      <c r="G280" t="inlineStr">
        <is>
          <t>MALÅ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46322</v>
      </c>
      <c r="F281" t="inlineStr">
        <is>
          <t>VÄSTERBOTTENS LÄN</t>
        </is>
      </c>
      <c r="G281" t="inlineStr">
        <is>
          <t>MALÅ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45646</v>
      </c>
      <c r="E282" s="1" t="n">
        <v>46322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32772-2024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45516</v>
      </c>
      <c r="E283" s="1" t="n">
        <v>46322</v>
      </c>
      <c r="F283" t="inlineStr">
        <is>
          <t>VÄSTERBOTTENS LÄN</t>
        </is>
      </c>
      <c r="G283" t="inlineStr">
        <is>
          <t>MALÅ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46322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46322</v>
      </c>
      <c r="F285" t="inlineStr">
        <is>
          <t>VÄSTERBOTTENS LÄN</t>
        </is>
      </c>
      <c r="G285" t="inlineStr">
        <is>
          <t>MALÅ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44641</v>
      </c>
      <c r="E286" s="1" t="n">
        <v>46322</v>
      </c>
      <c r="F286" t="inlineStr">
        <is>
          <t>VÄSTERBOTTENS LÄN</t>
        </is>
      </c>
      <c r="G286" t="inlineStr">
        <is>
          <t>MALÅ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46322</v>
      </c>
      <c r="F287" t="inlineStr">
        <is>
          <t>VÄSTERBOTTENS LÄN</t>
        </is>
      </c>
      <c r="G287" t="inlineStr">
        <is>
          <t>MALÅ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46322</v>
      </c>
      <c r="F288" t="inlineStr">
        <is>
          <t>VÄSTERBOTTENS LÄN</t>
        </is>
      </c>
      <c r="G288" t="inlineStr">
        <is>
          <t>MALÅ</t>
        </is>
      </c>
      <c r="I288" t="n">
        <v>9.300000000000001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46322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63.6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44893</v>
      </c>
      <c r="E290" s="1" t="n">
        <v>46322</v>
      </c>
      <c r="F290" t="inlineStr">
        <is>
          <t>VÄSTERBOTTENS LÄN</t>
        </is>
      </c>
      <c r="G290" t="inlineStr">
        <is>
          <t>MALÅ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48224-2024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45590</v>
      </c>
      <c r="E291" s="1" t="n">
        <v>46322</v>
      </c>
      <c r="F291" t="inlineStr">
        <is>
          <t>VÄSTERBOTTENS LÄN</t>
        </is>
      </c>
      <c r="G291" t="inlineStr">
        <is>
          <t>MALÅ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46322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46322</v>
      </c>
      <c r="F293" t="inlineStr">
        <is>
          <t>VÄSTERBOTTENS LÄN</t>
        </is>
      </c>
      <c r="G293" t="inlineStr">
        <is>
          <t>MALÅ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46322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46322</v>
      </c>
      <c r="F295" t="inlineStr">
        <is>
          <t>VÄSTERBOTTENS LÄN</t>
        </is>
      </c>
      <c r="G295" t="inlineStr">
        <is>
          <t>MALÅ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46246</v>
      </c>
      <c r="E296" s="1" t="n">
        <v>46322</v>
      </c>
      <c r="F296" t="inlineStr">
        <is>
          <t>VÄSTERBOTTENS LÄN</t>
        </is>
      </c>
      <c r="G296" t="inlineStr">
        <is>
          <t>MALÅ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46322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46253</v>
      </c>
      <c r="E298" s="1" t="n">
        <v>46322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46253</v>
      </c>
      <c r="E299" s="1" t="n">
        <v>46322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46322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45193</v>
      </c>
      <c r="E301" s="1" t="n">
        <v>46322</v>
      </c>
      <c r="F301" t="inlineStr">
        <is>
          <t>VÄSTERBOTTENS LÄN</t>
        </is>
      </c>
      <c r="G301" t="inlineStr">
        <is>
          <t>MALÅ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50504-2024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45601</v>
      </c>
      <c r="E302" s="1" t="n">
        <v>46322</v>
      </c>
      <c r="F302" t="inlineStr">
        <is>
          <t>VÄSTERBOTTENS LÄN</t>
        </is>
      </c>
      <c r="G302" t="inlineStr">
        <is>
          <t>MALÅ</t>
        </is>
      </c>
      <c r="H302" t="inlineStr">
        <is>
          <t>SCA</t>
        </is>
      </c>
      <c r="I302" t="n">
        <v>25.9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46322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46253</v>
      </c>
      <c r="E304" s="1" t="n">
        <v>46322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46322</v>
      </c>
      <c r="F305" t="inlineStr">
        <is>
          <t>VÄSTERBOTTENS LÄN</t>
        </is>
      </c>
      <c r="G305" t="inlineStr">
        <is>
          <t>MALÅ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46322</v>
      </c>
      <c r="F306" t="inlineStr">
        <is>
          <t>VÄSTERBOTTENS LÄN</t>
        </is>
      </c>
      <c r="G306" t="inlineStr">
        <is>
          <t>MALÅ</t>
        </is>
      </c>
      <c r="I306" t="n">
        <v>41.2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46322</v>
      </c>
      <c r="F307" t="inlineStr">
        <is>
          <t>VÄSTERBOTTENS LÄN</t>
        </is>
      </c>
      <c r="G307" t="inlineStr">
        <is>
          <t>MALÅ</t>
        </is>
      </c>
      <c r="I307" t="n">
        <v>13.3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46253</v>
      </c>
      <c r="E308" s="1" t="n">
        <v>46322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46322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46322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46322</v>
      </c>
      <c r="F311" t="inlineStr">
        <is>
          <t>VÄSTERBOTTENS LÄN</t>
        </is>
      </c>
      <c r="G311" t="inlineStr">
        <is>
          <t>MALÅ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46322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46322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21.8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45625</v>
      </c>
      <c r="E314" s="1" t="n">
        <v>46322</v>
      </c>
      <c r="F314" t="inlineStr">
        <is>
          <t>VÄSTERBOTTENS LÄN</t>
        </is>
      </c>
      <c r="G314" t="inlineStr">
        <is>
          <t>MALÅ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46322</v>
      </c>
      <c r="F315" t="inlineStr">
        <is>
          <t>VÄSTERBOTTENS LÄN</t>
        </is>
      </c>
      <c r="G315" t="inlineStr">
        <is>
          <t>MALÅ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46322</v>
      </c>
      <c r="F316" t="inlineStr">
        <is>
          <t>VÄSTERBOTTENS LÄN</t>
        </is>
      </c>
      <c r="G316" t="inlineStr">
        <is>
          <t>MALÅ</t>
        </is>
      </c>
      <c r="I316" t="n">
        <v>63.5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46322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46260</v>
      </c>
      <c r="E318" s="1" t="n">
        <v>46322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37897-2023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46322</v>
      </c>
      <c r="F319" t="inlineStr">
        <is>
          <t>VÄSTERBOTTENS LÄN</t>
        </is>
      </c>
      <c r="G319" t="inlineStr">
        <is>
          <t>MALÅ</t>
        </is>
      </c>
      <c r="I319" t="n">
        <v>30.4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40618-2023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46322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46322</v>
      </c>
      <c r="F321" t="inlineStr">
        <is>
          <t>VÄSTERBOTTENS LÄN</t>
        </is>
      </c>
      <c r="G321" t="inlineStr">
        <is>
          <t>MALÅ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46322</v>
      </c>
      <c r="F322" t="inlineStr">
        <is>
          <t>VÄSTERBOTTENS LÄN</t>
        </is>
      </c>
      <c r="G322" t="inlineStr">
        <is>
          <t>MALÅ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45642</v>
      </c>
      <c r="E323" s="1" t="n">
        <v>46322</v>
      </c>
      <c r="F323" t="inlineStr">
        <is>
          <t>VÄSTERBOTTENS LÄN</t>
        </is>
      </c>
      <c r="G323" t="inlineStr">
        <is>
          <t>MALÅ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45520</v>
      </c>
      <c r="E324" s="1" t="n">
        <v>46322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46322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46322</v>
      </c>
      <c r="F326" t="inlineStr">
        <is>
          <t>VÄSTERBOTTENS LÄN</t>
        </is>
      </c>
      <c r="G326" t="inlineStr">
        <is>
          <t>MALÅ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46322</v>
      </c>
      <c r="F327" t="inlineStr">
        <is>
          <t>VÄSTERBOTTENS LÄN</t>
        </is>
      </c>
      <c r="G327" t="inlineStr">
        <is>
          <t>MALÅ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46309</v>
      </c>
      <c r="E328" s="1" t="n">
        <v>46322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45601</v>
      </c>
      <c r="E329" s="1" t="n">
        <v>46322</v>
      </c>
      <c r="F329" t="inlineStr">
        <is>
          <t>VÄSTERBOTTENS LÄN</t>
        </is>
      </c>
      <c r="G329" t="inlineStr">
        <is>
          <t>MALÅ</t>
        </is>
      </c>
      <c r="H329" t="inlineStr">
        <is>
          <t>SCA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46322</v>
      </c>
      <c r="F330" t="inlineStr">
        <is>
          <t>VÄSTERBOTTENS LÄN</t>
        </is>
      </c>
      <c r="G330" t="inlineStr">
        <is>
          <t>MALÅ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46310</v>
      </c>
      <c r="E331" s="1" t="n">
        <v>46322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46310</v>
      </c>
      <c r="E332" s="1" t="n">
        <v>46322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46322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46322</v>
      </c>
      <c r="F334" t="inlineStr">
        <is>
          <t>VÄSTERBOTTENS LÄN</t>
        </is>
      </c>
      <c r="G334" t="inlineStr">
        <is>
          <t>MALÅ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46322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46322</v>
      </c>
      <c r="F336" t="inlineStr">
        <is>
          <t>VÄSTERBOTTENS LÄN</t>
        </is>
      </c>
      <c r="G336" t="inlineStr">
        <is>
          <t>MALÅ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46314</v>
      </c>
      <c r="E337" s="1" t="n">
        <v>46322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9.5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46322</v>
      </c>
      <c r="F338" t="inlineStr">
        <is>
          <t>VÄSTERBOTTENS LÄN</t>
        </is>
      </c>
      <c r="G338" t="inlineStr">
        <is>
          <t>MALÅ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46322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45694</v>
      </c>
      <c r="E340" s="1" t="n">
        <v>46322</v>
      </c>
      <c r="F340" t="inlineStr">
        <is>
          <t>VÄSTERBOTTENS LÄN</t>
        </is>
      </c>
      <c r="G340" t="inlineStr">
        <is>
          <t>MALÅ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46322</v>
      </c>
      <c r="F341" t="inlineStr">
        <is>
          <t>VÄSTERBOTTENS LÄN</t>
        </is>
      </c>
      <c r="G341" t="inlineStr">
        <is>
          <t>MALÅ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46322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44026-2026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46317</v>
      </c>
      <c r="E343" s="1" t="n">
        <v>46322</v>
      </c>
      <c r="F343" t="inlineStr">
        <is>
          <t>VÄSTERBOTTENS LÄN</t>
        </is>
      </c>
      <c r="G343" t="inlineStr">
        <is>
          <t>MALÅ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44027-2026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46317</v>
      </c>
      <c r="E344" s="1" t="n">
        <v>46322</v>
      </c>
      <c r="F344" t="inlineStr">
        <is>
          <t>VÄSTERBOTTENS LÄN</t>
        </is>
      </c>
      <c r="G344" t="inlineStr">
        <is>
          <t>MALÅ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46317</v>
      </c>
      <c r="E345" s="1" t="n">
        <v>46322</v>
      </c>
      <c r="F345" t="inlineStr">
        <is>
          <t>VÄSTERBOTTENS LÄN</t>
        </is>
      </c>
      <c r="G345" t="inlineStr">
        <is>
          <t>MALÅ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46276</v>
      </c>
      <c r="E346" s="1" t="n">
        <v>46322</v>
      </c>
      <c r="F346" t="inlineStr">
        <is>
          <t>VÄSTERBOTTENS LÄN</t>
        </is>
      </c>
      <c r="G346" t="inlineStr">
        <is>
          <t>MALÅ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46321</v>
      </c>
      <c r="E347" s="1" t="n">
        <v>46322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46276</v>
      </c>
      <c r="E348" s="1" t="n">
        <v>46322</v>
      </c>
      <c r="F348" t="inlineStr">
        <is>
          <t>VÄSTERBOTTENS LÄN</t>
        </is>
      </c>
      <c r="G348" t="inlineStr">
        <is>
          <t>MALÅ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46321</v>
      </c>
      <c r="E349" s="1" t="n">
        <v>46322</v>
      </c>
      <c r="F349" t="inlineStr">
        <is>
          <t>VÄSTERBOTTENS LÄN</t>
        </is>
      </c>
      <c r="G349" t="inlineStr">
        <is>
          <t>MALÅ</t>
        </is>
      </c>
      <c r="H349" t="inlineStr">
        <is>
          <t>Sveaskog</t>
        </is>
      </c>
      <c r="I349" t="n">
        <v>20.9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46321</v>
      </c>
      <c r="E350" s="1" t="n">
        <v>46322</v>
      </c>
      <c r="F350" t="inlineStr">
        <is>
          <t>VÄSTERBOTTENS LÄN</t>
        </is>
      </c>
      <c r="G350" t="inlineStr">
        <is>
          <t>MALÅ</t>
        </is>
      </c>
      <c r="H350" t="inlineStr">
        <is>
          <t>Sveaskog</t>
        </is>
      </c>
      <c r="I350" t="n">
        <v>12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46279</v>
      </c>
      <c r="E351" s="1" t="n">
        <v>46322</v>
      </c>
      <c r="F351" t="inlineStr">
        <is>
          <t>VÄSTERBOTTENS LÄN</t>
        </is>
      </c>
      <c r="G351" t="inlineStr">
        <is>
          <t>MALÅ</t>
        </is>
      </c>
      <c r="H351" t="inlineStr">
        <is>
          <t>SCA</t>
        </is>
      </c>
      <c r="I351" t="n">
        <v>10.5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46276</v>
      </c>
      <c r="E352" s="1" t="n">
        <v>46322</v>
      </c>
      <c r="F352" t="inlineStr">
        <is>
          <t>VÄSTERBOTTENS LÄN</t>
        </is>
      </c>
      <c r="G352" t="inlineStr">
        <is>
          <t>MALÅ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894-2022</t>
        </is>
      </c>
      <c r="B353" t="inlineStr">
        <is>
          <t>samrådsanmälan</t>
        </is>
      </c>
      <c r="C353" t="inlineStr">
        <is>
          <t>Skogsgödsling</t>
        </is>
      </c>
      <c r="D353" s="1" t="n">
        <v>44607</v>
      </c>
      <c r="E353" s="1" t="n">
        <v>46322</v>
      </c>
      <c r="F353" t="inlineStr">
        <is>
          <t>VÄSTERBOTTENS LÄN</t>
        </is>
      </c>
      <c r="G353" t="inlineStr">
        <is>
          <t>MALÅ</t>
        </is>
      </c>
      <c r="H353" t="inlineStr">
        <is>
          <t>SCA</t>
        </is>
      </c>
      <c r="I353" t="n">
        <v>86.3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2026-10-27T03:13:37Z</dcterms:created>
  <dcterms:modified xmlns:dcterms="http://purl.org/dc/terms/" xmlns:xsi="http://www.w3.org/2001/XMLSchema-instance" xsi:type="dcterms:W3CDTF">2026-10-27T03:13:38Z</dcterms:modified>
</cp:coreProperties>
</file>