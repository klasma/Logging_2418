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46250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46250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46250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46250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46250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Tallticka</t>
        </is>
      </c>
      <c r="W6">
        <f>HYPERLINK("https://klasma.github.io/Logging_2418/artfynd/A 48895-2025 artfynd.xlsx", "A 48895-2025")</f>
        <v/>
      </c>
      <c r="X6">
        <f>HYPERLINK("https://klasma.github.io/Logging_2418/kartor/A 48895-2025 karta.png", "A 48895-2025")</f>
        <v/>
      </c>
      <c r="Y6">
        <f>HYPERLINK("https://klasma.github.io/Logging_2418/kartor_geotiff/A 48895-2025 georefererad karta.tif", "A 48895-2025")</f>
        <v/>
      </c>
      <c r="AA6">
        <f>HYPERLINK("https://klasma.github.io/Logging_2418/klagomål/A 48895-2025 FSC-klagomål.docx", "A 48895-2025")</f>
        <v/>
      </c>
      <c r="AB6">
        <f>HYPERLINK("https://klasma.github.io/Logging_2418/klagomålsmail/A 48895-2025 FSC-klagomål mail.docx", "A 48895-2025")</f>
        <v/>
      </c>
      <c r="AC6">
        <f>HYPERLINK("https://klasma.github.io/Logging_2418/tillsyn/A 48895-2025 tillsynsbegäran.docx", "A 48895-2025")</f>
        <v/>
      </c>
      <c r="AD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46250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41840-2023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45176</v>
      </c>
      <c r="E8" s="1" t="n">
        <v>46250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15.9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Robust tickgnagare</t>
        </is>
      </c>
      <c r="W8">
        <f>HYPERLINK("https://klasma.github.io/Logging_2418/artfynd/A 41840-2023 artfynd.xlsx", "A 41840-2023")</f>
        <v/>
      </c>
      <c r="X8">
        <f>HYPERLINK("https://klasma.github.io/Logging_2418/kartor/A 41840-2023 karta.png", "A 41840-2023")</f>
        <v/>
      </c>
      <c r="Y8">
        <f>HYPERLINK("https://klasma.github.io/Logging_2418/kartor_geotiff/A 41840-2023 georefererad karta.tif", "A 41840-2023")</f>
        <v/>
      </c>
      <c r="AA8">
        <f>HYPERLINK("https://klasma.github.io/Logging_2418/klagomål/A 41840-2023 FSC-klagomål.docx", "A 41840-2023")</f>
        <v/>
      </c>
      <c r="AB8">
        <f>HYPERLINK("https://klasma.github.io/Logging_2418/klagomålsmail/A 41840-2023 FSC-klagomål mail.docx", "A 41840-2023")</f>
        <v/>
      </c>
      <c r="AC8">
        <f>HYPERLINK("https://klasma.github.io/Logging_2418/tillsyn/A 41840-2023 tillsynsbegäran.docx", "A 41840-2023")</f>
        <v/>
      </c>
      <c r="AD8">
        <f>HYPERLINK("https://klasma.github.io/Logging_2418/tillsynsmail/A 41840-2023 tillsynsbegäran mail.docx", "A 41840-2023")</f>
        <v/>
      </c>
    </row>
    <row r="9" ht="15" customHeight="1">
      <c r="A9" t="inlineStr">
        <is>
          <t>A 49370-2021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44454</v>
      </c>
      <c r="E9" s="1" t="n">
        <v>46250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26.5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Norna</t>
        </is>
      </c>
      <c r="W9">
        <f>HYPERLINK("https://klasma.github.io/Logging_2418/artfynd/A 49370-2021 artfynd.xlsx", "A 49370-2021")</f>
        <v/>
      </c>
      <c r="X9">
        <f>HYPERLINK("https://klasma.github.io/Logging_2418/kartor/A 49370-2021 karta.png", "A 49370-2021")</f>
        <v/>
      </c>
      <c r="Y9">
        <f>HYPERLINK("https://klasma.github.io/Logging_2418/kartor_geotiff/A 49370-2021 georefererad karta.tif", "A 49370-2021")</f>
        <v/>
      </c>
      <c r="AA9">
        <f>HYPERLINK("https://klasma.github.io/Logging_2418/klagomål/A 49370-2021 FSC-klagomål.docx", "A 49370-2021")</f>
        <v/>
      </c>
      <c r="AB9">
        <f>HYPERLINK("https://klasma.github.io/Logging_2418/klagomålsmail/A 49370-2021 FSC-klagomål mail.docx", "A 49370-2021")</f>
        <v/>
      </c>
      <c r="AC9">
        <f>HYPERLINK("https://klasma.github.io/Logging_2418/tillsyn/A 49370-2021 tillsynsbegäran.docx", "A 49370-2021")</f>
        <v/>
      </c>
      <c r="AD9">
        <f>HYPERLINK("https://klasma.github.io/Logging_2418/tillsynsmail/A 49370-2021 tillsynsbegäran mail.docx", "A 49370-2021")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46250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46250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46250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46250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46250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46250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46250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46250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46250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45549-2021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44440</v>
      </c>
      <c r="E19" s="1" t="n">
        <v>46250</v>
      </c>
      <c r="F19" t="inlineStr">
        <is>
          <t>VÄSTERBOTTENS LÄN</t>
        </is>
      </c>
      <c r="G19" t="inlineStr">
        <is>
          <t>MALÅ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39791-2023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45167</v>
      </c>
      <c r="E20" s="1" t="n">
        <v>46250</v>
      </c>
      <c r="F20" t="inlineStr">
        <is>
          <t>VÄSTERBOTTENS LÄN</t>
        </is>
      </c>
      <c r="G20" t="inlineStr">
        <is>
          <t>MALÅ</t>
        </is>
      </c>
      <c r="I20" t="n">
        <v>10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39304-2023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46250</v>
      </c>
      <c r="F21" t="inlineStr">
        <is>
          <t>VÄSTERBOTTENS LÄN</t>
        </is>
      </c>
      <c r="G21" t="inlineStr">
        <is>
          <t>MALÅ</t>
        </is>
      </c>
      <c r="H21" t="inlineStr">
        <is>
          <t>Kyrkan</t>
        </is>
      </c>
      <c r="I21" t="n">
        <v>27.3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39320-2023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46250</v>
      </c>
      <c r="F22" t="inlineStr">
        <is>
          <t>VÄSTERBOTTENS LÄN</t>
        </is>
      </c>
      <c r="G22" t="inlineStr">
        <is>
          <t>MALÅ</t>
        </is>
      </c>
      <c r="H22" t="inlineStr">
        <is>
          <t>Kyrkan</t>
        </is>
      </c>
      <c r="I22" t="n">
        <v>84.5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52270-2023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45217</v>
      </c>
      <c r="E23" s="1" t="n">
        <v>46250</v>
      </c>
      <c r="F23" t="inlineStr">
        <is>
          <t>VÄSTERBOTTENS LÄN</t>
        </is>
      </c>
      <c r="G23" t="inlineStr">
        <is>
          <t>MALÅ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38999-2023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45162</v>
      </c>
      <c r="E24" s="1" t="n">
        <v>46250</v>
      </c>
      <c r="F24" t="inlineStr">
        <is>
          <t>VÄSTERBOTTENS LÄN</t>
        </is>
      </c>
      <c r="G24" t="inlineStr">
        <is>
          <t>MALÅ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46250</v>
      </c>
      <c r="F25" t="inlineStr">
        <is>
          <t>VÄSTERBOTTENS LÄN</t>
        </is>
      </c>
      <c r="G25" t="inlineStr">
        <is>
          <t>MALÅ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52480-2023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45225</v>
      </c>
      <c r="E26" s="1" t="n">
        <v>46250</v>
      </c>
      <c r="F26" t="inlineStr">
        <is>
          <t>VÄSTERBOTTENS LÄN</t>
        </is>
      </c>
      <c r="G26" t="inlineStr">
        <is>
          <t>MALÅ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41852-2023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45174</v>
      </c>
      <c r="E27" s="1" t="n">
        <v>46250</v>
      </c>
      <c r="F27" t="inlineStr">
        <is>
          <t>VÄSTERBOTTENS LÄN</t>
        </is>
      </c>
      <c r="G27" t="inlineStr">
        <is>
          <t>MALÅ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36144-2023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45149</v>
      </c>
      <c r="E28" s="1" t="n">
        <v>46250</v>
      </c>
      <c r="F28" t="inlineStr">
        <is>
          <t>VÄSTERBOTTENS LÄN</t>
        </is>
      </c>
      <c r="G28" t="inlineStr">
        <is>
          <t>MALÅ</t>
        </is>
      </c>
      <c r="I28" t="n">
        <v>147.1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46250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14280-2024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46250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7.3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53256-2023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46250</v>
      </c>
      <c r="F31" t="inlineStr">
        <is>
          <t>VÄSTERBOTTENS LÄN</t>
        </is>
      </c>
      <c r="G31" t="inlineStr">
        <is>
          <t>MALÅ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45114-2021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44439</v>
      </c>
      <c r="E32" s="1" t="n">
        <v>46250</v>
      </c>
      <c r="F32" t="inlineStr">
        <is>
          <t>VÄSTERBOTTENS LÄN</t>
        </is>
      </c>
      <c r="G32" t="inlineStr">
        <is>
          <t>MALÅ</t>
        </is>
      </c>
      <c r="H32" t="inlineStr">
        <is>
          <t>Sveaskog</t>
        </is>
      </c>
      <c r="I32" t="n">
        <v>48.3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12857-2024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45384</v>
      </c>
      <c r="E33" s="1" t="n">
        <v>46250</v>
      </c>
      <c r="F33" t="inlineStr">
        <is>
          <t>VÄSTERBOTTENS LÄN</t>
        </is>
      </c>
      <c r="G33" t="inlineStr">
        <is>
          <t>MALÅ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47434-2023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45197</v>
      </c>
      <c r="E34" s="1" t="n">
        <v>46250</v>
      </c>
      <c r="F34" t="inlineStr">
        <is>
          <t>VÄSTERBOTTENS LÄN</t>
        </is>
      </c>
      <c r="G34" t="inlineStr">
        <is>
          <t>MALÅ</t>
        </is>
      </c>
      <c r="I34" t="n">
        <v>10.9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13004-2023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45002</v>
      </c>
      <c r="E35" s="1" t="n">
        <v>46250</v>
      </c>
      <c r="F35" t="inlineStr">
        <is>
          <t>VÄSTERBOTTENS LÄN</t>
        </is>
      </c>
      <c r="G35" t="inlineStr">
        <is>
          <t>MALÅ</t>
        </is>
      </c>
      <c r="H35" t="inlineStr">
        <is>
          <t>SCA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62257-2023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46250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41852-2023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45174</v>
      </c>
      <c r="E37" s="1" t="n">
        <v>46250</v>
      </c>
      <c r="F37" t="inlineStr">
        <is>
          <t>VÄSTERBOTTENS LÄN</t>
        </is>
      </c>
      <c r="G37" t="inlineStr">
        <is>
          <t>MALÅ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41792-2023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46250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10.7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44587</v>
      </c>
      <c r="E39" s="1" t="n">
        <v>46250</v>
      </c>
      <c r="F39" t="inlineStr">
        <is>
          <t>VÄSTERBOTTENS LÄN</t>
        </is>
      </c>
      <c r="G39" t="inlineStr">
        <is>
          <t>MALÅ</t>
        </is>
      </c>
      <c r="I39" t="n">
        <v>10.4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14461-2025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45741</v>
      </c>
      <c r="E40" s="1" t="n">
        <v>46250</v>
      </c>
      <c r="F40" t="inlineStr">
        <is>
          <t>VÄSTERBOTTENS LÄN</t>
        </is>
      </c>
      <c r="G40" t="inlineStr">
        <is>
          <t>MALÅ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36706-2023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46250</v>
      </c>
      <c r="F41" t="inlineStr">
        <is>
          <t>VÄSTERBOTTENS LÄN</t>
        </is>
      </c>
      <c r="G41" t="inlineStr">
        <is>
          <t>MALÅ</t>
        </is>
      </c>
      <c r="I41" t="n">
        <v>41.7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62284-2023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45267</v>
      </c>
      <c r="E42" s="1" t="n">
        <v>46250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6.6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48931-2023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45209</v>
      </c>
      <c r="E43" s="1" t="n">
        <v>46250</v>
      </c>
      <c r="F43" t="inlineStr">
        <is>
          <t>VÄSTERBOTTENS LÄN</t>
        </is>
      </c>
      <c r="G43" t="inlineStr">
        <is>
          <t>MALÅ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46250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10.8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33690-2024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46250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5.7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45890</v>
      </c>
      <c r="E46" s="1" t="n">
        <v>46250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46250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39614-2025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45890</v>
      </c>
      <c r="E48" s="1" t="n">
        <v>46250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7.4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37171-2023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45154</v>
      </c>
      <c r="E49" s="1" t="n">
        <v>46250</v>
      </c>
      <c r="F49" t="inlineStr">
        <is>
          <t>VÄSTERBOTTENS LÄN</t>
        </is>
      </c>
      <c r="G49" t="inlineStr">
        <is>
          <t>MALÅ</t>
        </is>
      </c>
      <c r="I49" t="n">
        <v>8.9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31088-2024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45502</v>
      </c>
      <c r="E50" s="1" t="n">
        <v>46250</v>
      </c>
      <c r="F50" t="inlineStr">
        <is>
          <t>VÄSTERBOTTENS LÄN</t>
        </is>
      </c>
      <c r="G50" t="inlineStr">
        <is>
          <t>MALÅ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45238</v>
      </c>
      <c r="E51" s="1" t="n">
        <v>46250</v>
      </c>
      <c r="F51" t="inlineStr">
        <is>
          <t>VÄSTERBOTTENS LÄN</t>
        </is>
      </c>
      <c r="G51" t="inlineStr">
        <is>
          <t>MALÅ</t>
        </is>
      </c>
      <c r="H51" t="inlineStr">
        <is>
          <t>SCA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41360-2023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45174</v>
      </c>
      <c r="E52" s="1" t="n">
        <v>46250</v>
      </c>
      <c r="F52" t="inlineStr">
        <is>
          <t>VÄSTERBOTTENS LÄN</t>
        </is>
      </c>
      <c r="G52" t="inlineStr">
        <is>
          <t>MALÅ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46250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22.4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41212-2025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46250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17.6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41191-2025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46250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45897</v>
      </c>
      <c r="E56" s="1" t="n">
        <v>46250</v>
      </c>
      <c r="F56" t="inlineStr">
        <is>
          <t>VÄSTERBOTTENS LÄN</t>
        </is>
      </c>
      <c r="G56" t="inlineStr">
        <is>
          <t>MALÅ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46250</v>
      </c>
      <c r="F57" t="inlineStr">
        <is>
          <t>VÄSTERBOTTENS LÄN</t>
        </is>
      </c>
      <c r="G57" t="inlineStr">
        <is>
          <t>MALÅ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45504</v>
      </c>
      <c r="E58" s="1" t="n">
        <v>46250</v>
      </c>
      <c r="F58" t="inlineStr">
        <is>
          <t>VÄSTERBOTTENS LÄN</t>
        </is>
      </c>
      <c r="G58" t="inlineStr">
        <is>
          <t>MALÅ</t>
        </is>
      </c>
      <c r="I58" t="n">
        <v>9.800000000000001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45700</v>
      </c>
      <c r="E59" s="1" t="n">
        <v>46250</v>
      </c>
      <c r="F59" t="inlineStr">
        <is>
          <t>VÄSTERBOTTENS LÄN</t>
        </is>
      </c>
      <c r="G59" t="inlineStr">
        <is>
          <t>MALÅ</t>
        </is>
      </c>
      <c r="H59" t="inlineStr">
        <is>
          <t>SCA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58240-2022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46250</v>
      </c>
      <c r="F60" t="inlineStr">
        <is>
          <t>VÄSTERBOTTENS LÄN</t>
        </is>
      </c>
      <c r="G60" t="inlineStr">
        <is>
          <t>MALÅ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10843-2024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45369</v>
      </c>
      <c r="E61" s="1" t="n">
        <v>46250</v>
      </c>
      <c r="F61" t="inlineStr">
        <is>
          <t>VÄSTERBOTTENS LÄN</t>
        </is>
      </c>
      <c r="G61" t="inlineStr">
        <is>
          <t>MALÅ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44928</v>
      </c>
      <c r="E62" s="1" t="n">
        <v>46250</v>
      </c>
      <c r="F62" t="inlineStr">
        <is>
          <t>VÄSTERBOTTENS LÄN</t>
        </is>
      </c>
      <c r="G62" t="inlineStr">
        <is>
          <t>MALÅ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46250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63.6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46084</v>
      </c>
      <c r="E64" s="1" t="n">
        <v>46250</v>
      </c>
      <c r="F64" t="inlineStr">
        <is>
          <t>VÄSTERBOTTENS LÄN</t>
        </is>
      </c>
      <c r="G64" t="inlineStr">
        <is>
          <t>MALÅ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48034-2025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45932</v>
      </c>
      <c r="E65" s="1" t="n">
        <v>46250</v>
      </c>
      <c r="F65" t="inlineStr">
        <is>
          <t>VÄSTERBOTTENS LÄN</t>
        </is>
      </c>
      <c r="G65" t="inlineStr">
        <is>
          <t>MALÅ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48058-2025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45932</v>
      </c>
      <c r="E66" s="1" t="n">
        <v>46250</v>
      </c>
      <c r="F66" t="inlineStr">
        <is>
          <t>VÄSTERBOTTENS LÄN</t>
        </is>
      </c>
      <c r="G66" t="inlineStr">
        <is>
          <t>MALÅ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46250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49207-2025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45938</v>
      </c>
      <c r="E68" s="1" t="n">
        <v>46250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10.5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49202-2025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45938</v>
      </c>
      <c r="E69" s="1" t="n">
        <v>46250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45694</v>
      </c>
      <c r="E70" s="1" t="n">
        <v>46250</v>
      </c>
      <c r="F70" t="inlineStr">
        <is>
          <t>VÄSTERBOTTENS LÄN</t>
        </is>
      </c>
      <c r="G70" t="inlineStr">
        <is>
          <t>MALÅ</t>
        </is>
      </c>
      <c r="H70" t="inlineStr">
        <is>
          <t>SCA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46250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40370-2023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46250</v>
      </c>
      <c r="F72" t="inlineStr">
        <is>
          <t>VÄSTERBOTTENS LÄN</t>
        </is>
      </c>
      <c r="G72" t="inlineStr">
        <is>
          <t>MALÅ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48983-2025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46250</v>
      </c>
      <c r="F73" t="inlineStr">
        <is>
          <t>VÄSTERBOTTENS LÄN</t>
        </is>
      </c>
      <c r="G73" t="inlineStr">
        <is>
          <t>MALÅ</t>
        </is>
      </c>
      <c r="H73" t="inlineStr">
        <is>
          <t>SCA</t>
        </is>
      </c>
      <c r="I73" t="n">
        <v>11.7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49657-2025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45939</v>
      </c>
      <c r="E74" s="1" t="n">
        <v>46250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49661-2025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45939</v>
      </c>
      <c r="E75" s="1" t="n">
        <v>46250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32772-2024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45516</v>
      </c>
      <c r="E76" s="1" t="n">
        <v>46250</v>
      </c>
      <c r="F76" t="inlineStr">
        <is>
          <t>VÄSTERBOTTENS LÄN</t>
        </is>
      </c>
      <c r="G76" t="inlineStr">
        <is>
          <t>MALÅ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44575</v>
      </c>
      <c r="E77" s="1" t="n">
        <v>46250</v>
      </c>
      <c r="F77" t="inlineStr">
        <is>
          <t>VÄSTERBOTTENS LÄN</t>
        </is>
      </c>
      <c r="G77" t="inlineStr">
        <is>
          <t>MALÅ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13773-2026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46097</v>
      </c>
      <c r="E78" s="1" t="n">
        <v>46250</v>
      </c>
      <c r="F78" t="inlineStr">
        <is>
          <t>VÄSTERBOTTENS LÄN</t>
        </is>
      </c>
      <c r="G78" t="inlineStr">
        <is>
          <t>MALÅ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13775-2026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46250</v>
      </c>
      <c r="F79" t="inlineStr">
        <is>
          <t>VÄSTERBOTTENS LÄN</t>
        </is>
      </c>
      <c r="G79" t="inlineStr">
        <is>
          <t>MALÅ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46250</v>
      </c>
      <c r="F80" t="inlineStr">
        <is>
          <t>VÄSTERBOTTENS LÄN</t>
        </is>
      </c>
      <c r="G80" t="inlineStr">
        <is>
          <t>MALÅ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34413-2023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45139</v>
      </c>
      <c r="E81" s="1" t="n">
        <v>46250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46250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20234-2023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45054</v>
      </c>
      <c r="E83" s="1" t="n">
        <v>46250</v>
      </c>
      <c r="F83" t="inlineStr">
        <is>
          <t>VÄSTERBOTTENS LÄN</t>
        </is>
      </c>
      <c r="G83" t="inlineStr">
        <is>
          <t>MALÅ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51967-2025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45952</v>
      </c>
      <c r="E84" s="1" t="n">
        <v>46250</v>
      </c>
      <c r="F84" t="inlineStr">
        <is>
          <t>VÄSTERBOTTENS LÄN</t>
        </is>
      </c>
      <c r="G84" t="inlineStr">
        <is>
          <t>MALÅ</t>
        </is>
      </c>
      <c r="H84" t="inlineStr">
        <is>
          <t>SCA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51935-2025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45952</v>
      </c>
      <c r="E85" s="1" t="n">
        <v>46250</v>
      </c>
      <c r="F85" t="inlineStr">
        <is>
          <t>VÄSTERBOTTENS LÄN</t>
        </is>
      </c>
      <c r="G85" t="inlineStr">
        <is>
          <t>MALÅ</t>
        </is>
      </c>
      <c r="I85" t="n">
        <v>18.6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45952</v>
      </c>
      <c r="E86" s="1" t="n">
        <v>46250</v>
      </c>
      <c r="F86" t="inlineStr">
        <is>
          <t>VÄSTERBOTTENS LÄN</t>
        </is>
      </c>
      <c r="G86" t="inlineStr">
        <is>
          <t>MALÅ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51968-2025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45952</v>
      </c>
      <c r="E87" s="1" t="n">
        <v>46250</v>
      </c>
      <c r="F87" t="inlineStr">
        <is>
          <t>VÄSTERBOTTENS LÄN</t>
        </is>
      </c>
      <c r="G87" t="inlineStr">
        <is>
          <t>MALÅ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45952</v>
      </c>
      <c r="E88" s="1" t="n">
        <v>46250</v>
      </c>
      <c r="F88" t="inlineStr">
        <is>
          <t>VÄSTERBOTTENS LÄN</t>
        </is>
      </c>
      <c r="G88" t="inlineStr">
        <is>
          <t>MALÅ</t>
        </is>
      </c>
      <c r="H88" t="inlineStr">
        <is>
          <t>SCA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45952</v>
      </c>
      <c r="E89" s="1" t="n">
        <v>46250</v>
      </c>
      <c r="F89" t="inlineStr">
        <is>
          <t>VÄSTERBOTTENS LÄN</t>
        </is>
      </c>
      <c r="G89" t="inlineStr">
        <is>
          <t>MALÅ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51950-2025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45952</v>
      </c>
      <c r="E90" s="1" t="n">
        <v>46250</v>
      </c>
      <c r="F90" t="inlineStr">
        <is>
          <t>VÄSTERBOTTENS LÄN</t>
        </is>
      </c>
      <c r="G90" t="inlineStr">
        <is>
          <t>MALÅ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44967</v>
      </c>
      <c r="E91" s="1" t="n">
        <v>46250</v>
      </c>
      <c r="F91" t="inlineStr">
        <is>
          <t>VÄSTERBOTTENS LÄN</t>
        </is>
      </c>
      <c r="G91" t="inlineStr">
        <is>
          <t>MALÅ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46250</v>
      </c>
      <c r="F92" t="inlineStr">
        <is>
          <t>VÄSTERBOTTENS LÄN</t>
        </is>
      </c>
      <c r="G92" t="inlineStr">
        <is>
          <t>MALÅ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45159</v>
      </c>
      <c r="E93" s="1" t="n">
        <v>46250</v>
      </c>
      <c r="F93" t="inlineStr">
        <is>
          <t>VÄSTERBOTTENS LÄN</t>
        </is>
      </c>
      <c r="G93" t="inlineStr">
        <is>
          <t>MALÅ</t>
        </is>
      </c>
      <c r="I93" t="n">
        <v>9.699999999999999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45719</v>
      </c>
      <c r="E94" s="1" t="n">
        <v>46250</v>
      </c>
      <c r="F94" t="inlineStr">
        <is>
          <t>VÄSTERBOTTENS LÄN</t>
        </is>
      </c>
      <c r="G94" t="inlineStr">
        <is>
          <t>MALÅ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15306-2026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46105</v>
      </c>
      <c r="E95" s="1" t="n">
        <v>46250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15286-2026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46105</v>
      </c>
      <c r="E96" s="1" t="n">
        <v>46250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9.1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45154</v>
      </c>
      <c r="E97" s="1" t="n">
        <v>46250</v>
      </c>
      <c r="F97" t="inlineStr">
        <is>
          <t>VÄSTERBOTTENS LÄN</t>
        </is>
      </c>
      <c r="G97" t="inlineStr">
        <is>
          <t>MALÅ</t>
        </is>
      </c>
      <c r="I97" t="n">
        <v>73.7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33692-2024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45520</v>
      </c>
      <c r="E98" s="1" t="n">
        <v>46250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45230</v>
      </c>
      <c r="E99" s="1" t="n">
        <v>46250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46250</v>
      </c>
      <c r="F100" t="inlineStr">
        <is>
          <t>VÄSTERBOTTENS LÄN</t>
        </is>
      </c>
      <c r="G100" t="inlineStr">
        <is>
          <t>MALÅ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53595-2025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46250</v>
      </c>
      <c r="F101" t="inlineStr">
        <is>
          <t>VÄSTERBOTTENS LÄN</t>
        </is>
      </c>
      <c r="G101" t="inlineStr">
        <is>
          <t>MALÅ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56727-2022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44893</v>
      </c>
      <c r="E102" s="1" t="n">
        <v>46250</v>
      </c>
      <c r="F102" t="inlineStr">
        <is>
          <t>VÄSTERBOTTENS LÄN</t>
        </is>
      </c>
      <c r="G102" t="inlineStr">
        <is>
          <t>MALÅ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41353-2023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45174</v>
      </c>
      <c r="E103" s="1" t="n">
        <v>46250</v>
      </c>
      <c r="F103" t="inlineStr">
        <is>
          <t>VÄSTERBOTTENS LÄN</t>
        </is>
      </c>
      <c r="G103" t="inlineStr">
        <is>
          <t>MALÅ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  <c r="Z103">
        <f>HYPERLINK("https://klasma.github.io/Logging_2418/knärot/A 41353-2023 karta knärot.png", "A 41353-2023")</f>
        <v/>
      </c>
      <c r="AA103">
        <f>HYPERLINK("https://klasma.github.io/Logging_2418/klagomål/A 41353-2023 FSC-klagomål.docx", "A 41353-2023")</f>
        <v/>
      </c>
      <c r="AB103">
        <f>HYPERLINK("https://klasma.github.io/Logging_2418/klagomålsmail/A 41353-2023 FSC-klagomål mail.docx", "A 41353-2023")</f>
        <v/>
      </c>
      <c r="AC103">
        <f>HYPERLINK("https://klasma.github.io/Logging_2418/tillsyn/A 41353-2023 tillsynsbegäran.docx", "A 41353-2023")</f>
        <v/>
      </c>
      <c r="AD103">
        <f>HYPERLINK("https://klasma.github.io/Logging_2418/tillsynsmail/A 41353-2023 tillsynsbegäran mail.docx", "A 41353-2023")</f>
        <v/>
      </c>
    </row>
    <row r="104" ht="15" customHeight="1">
      <c r="A104" t="inlineStr">
        <is>
          <t>A 61947-2024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45646</v>
      </c>
      <c r="E104" s="1" t="n">
        <v>46250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45964</v>
      </c>
      <c r="E105" s="1" t="n">
        <v>46250</v>
      </c>
      <c r="F105" t="inlineStr">
        <is>
          <t>VÄSTERBOTTENS LÄN</t>
        </is>
      </c>
      <c r="G105" t="inlineStr">
        <is>
          <t>MALÅ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53376-2023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46250</v>
      </c>
      <c r="F106" t="inlineStr">
        <is>
          <t>VÄSTERBOTTENS LÄN</t>
        </is>
      </c>
      <c r="G106" t="inlineStr">
        <is>
          <t>MALÅ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45966</v>
      </c>
      <c r="E107" s="1" t="n">
        <v>46250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54628-2025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45966</v>
      </c>
      <c r="E108" s="1" t="n">
        <v>46250</v>
      </c>
      <c r="F108" t="inlineStr">
        <is>
          <t>VÄSTERBOTTENS LÄN</t>
        </is>
      </c>
      <c r="G108" t="inlineStr">
        <is>
          <t>MALÅ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45966</v>
      </c>
      <c r="E109" s="1" t="n">
        <v>46250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45154</v>
      </c>
      <c r="E110" s="1" t="n">
        <v>46250</v>
      </c>
      <c r="F110" t="inlineStr">
        <is>
          <t>VÄSTERBOTTENS LÄN</t>
        </is>
      </c>
      <c r="G110" t="inlineStr">
        <is>
          <t>MALÅ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54463-2025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45964</v>
      </c>
      <c r="E111" s="1" t="n">
        <v>46250</v>
      </c>
      <c r="F111" t="inlineStr">
        <is>
          <t>VÄSTERBOTTENS LÄN</t>
        </is>
      </c>
      <c r="G111" t="inlineStr">
        <is>
          <t>MALÅ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54455-2025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45964</v>
      </c>
      <c r="E112" s="1" t="n">
        <v>46250</v>
      </c>
      <c r="F112" t="inlineStr">
        <is>
          <t>VÄSTERBOTTENS LÄN</t>
        </is>
      </c>
      <c r="G112" t="inlineStr">
        <is>
          <t>MALÅ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41913-2023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46250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46250</v>
      </c>
      <c r="F114" t="inlineStr">
        <is>
          <t>VÄSTERBOTTENS LÄN</t>
        </is>
      </c>
      <c r="G114" t="inlineStr">
        <is>
          <t>MALÅ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46114</v>
      </c>
      <c r="E115" s="1" t="n">
        <v>46250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19.7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11824-2023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44994</v>
      </c>
      <c r="E116" s="1" t="n">
        <v>46250</v>
      </c>
      <c r="F116" t="inlineStr">
        <is>
          <t>VÄSTERBOTTENS LÄN</t>
        </is>
      </c>
      <c r="G116" t="inlineStr">
        <is>
          <t>MALÅ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46250</v>
      </c>
      <c r="F117" t="inlineStr">
        <is>
          <t>VÄSTERBOTTENS LÄN</t>
        </is>
      </c>
      <c r="G117" t="inlineStr">
        <is>
          <t>MALÅ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6910-2023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44964</v>
      </c>
      <c r="E118" s="1" t="n">
        <v>46250</v>
      </c>
      <c r="F118" t="inlineStr">
        <is>
          <t>VÄSTERBOTTENS LÄN</t>
        </is>
      </c>
      <c r="G118" t="inlineStr">
        <is>
          <t>MALÅ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46250</v>
      </c>
      <c r="F119" t="inlineStr">
        <is>
          <t>VÄSTERBOTTENS LÄN</t>
        </is>
      </c>
      <c r="G119" t="inlineStr">
        <is>
          <t>MALÅ</t>
        </is>
      </c>
      <c r="I119" t="n">
        <v>20.7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49434-2023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45211</v>
      </c>
      <c r="E120" s="1" t="n">
        <v>46250</v>
      </c>
      <c r="F120" t="inlineStr">
        <is>
          <t>VÄSTERBOTTENS LÄN</t>
        </is>
      </c>
      <c r="G120" t="inlineStr">
        <is>
          <t>MALÅ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45694</v>
      </c>
      <c r="E121" s="1" t="n">
        <v>46250</v>
      </c>
      <c r="F121" t="inlineStr">
        <is>
          <t>VÄSTERBOTTENS LÄN</t>
        </is>
      </c>
      <c r="G121" t="inlineStr">
        <is>
          <t>MALÅ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58894-2025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45987</v>
      </c>
      <c r="E122" s="1" t="n">
        <v>46250</v>
      </c>
      <c r="F122" t="inlineStr">
        <is>
          <t>VÄSTERBOTTENS LÄN</t>
        </is>
      </c>
      <c r="G122" t="inlineStr">
        <is>
          <t>MALÅ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58893-2025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45987</v>
      </c>
      <c r="E123" s="1" t="n">
        <v>46250</v>
      </c>
      <c r="F123" t="inlineStr">
        <is>
          <t>VÄSTERBOTTENS LÄN</t>
        </is>
      </c>
      <c r="G123" t="inlineStr">
        <is>
          <t>MALÅ</t>
        </is>
      </c>
      <c r="I123" t="n">
        <v>19.2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34353-2022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44792</v>
      </c>
      <c r="E124" s="1" t="n">
        <v>46250</v>
      </c>
      <c r="F124" t="inlineStr">
        <is>
          <t>VÄSTERBOTTENS LÄN</t>
        </is>
      </c>
      <c r="G124" t="inlineStr">
        <is>
          <t>MALÅ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45989</v>
      </c>
      <c r="E125" s="1" t="n">
        <v>46250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45989</v>
      </c>
      <c r="E126" s="1" t="n">
        <v>46250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45166</v>
      </c>
      <c r="E127" s="1" t="n">
        <v>46250</v>
      </c>
      <c r="F127" t="inlineStr">
        <is>
          <t>VÄSTERBOTTENS LÄN</t>
        </is>
      </c>
      <c r="G127" t="inlineStr">
        <is>
          <t>MALÅ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59866-2021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44491</v>
      </c>
      <c r="E128" s="1" t="n">
        <v>46250</v>
      </c>
      <c r="F128" t="inlineStr">
        <is>
          <t>VÄSTERBOTTENS LÄN</t>
        </is>
      </c>
      <c r="G128" t="inlineStr">
        <is>
          <t>MALÅ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39153-2023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45166</v>
      </c>
      <c r="E129" s="1" t="n">
        <v>46250</v>
      </c>
      <c r="F129" t="inlineStr">
        <is>
          <t>VÄSTERBOTTENS LÄN</t>
        </is>
      </c>
      <c r="G129" t="inlineStr">
        <is>
          <t>MALÅ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45989</v>
      </c>
      <c r="E130" s="1" t="n">
        <v>46250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68036-2021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46250</v>
      </c>
      <c r="F131" t="inlineStr">
        <is>
          <t>VÄSTERBOTTENS LÄN</t>
        </is>
      </c>
      <c r="G131" t="inlineStr">
        <is>
          <t>MALÅ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45989</v>
      </c>
      <c r="E132" s="1" t="n">
        <v>46250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45989</v>
      </c>
      <c r="E133" s="1" t="n">
        <v>46250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45989</v>
      </c>
      <c r="E134" s="1" t="n">
        <v>46250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12.4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45643</v>
      </c>
      <c r="E135" s="1" t="n">
        <v>46250</v>
      </c>
      <c r="F135" t="inlineStr">
        <is>
          <t>VÄSTERBOTTENS LÄN</t>
        </is>
      </c>
      <c r="G135" t="inlineStr">
        <is>
          <t>MALÅ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37462-2024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45540</v>
      </c>
      <c r="E136" s="1" t="n">
        <v>46250</v>
      </c>
      <c r="F136" t="inlineStr">
        <is>
          <t>VÄSTERBOTTENS LÄN</t>
        </is>
      </c>
      <c r="G136" t="inlineStr">
        <is>
          <t>MALÅ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45000</v>
      </c>
      <c r="E137" s="1" t="n">
        <v>46250</v>
      </c>
      <c r="F137" t="inlineStr">
        <is>
          <t>VÄSTERBOTTENS LÄN</t>
        </is>
      </c>
      <c r="G137" t="inlineStr">
        <is>
          <t>MALÅ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48353-2023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46250</v>
      </c>
      <c r="F138" t="inlineStr">
        <is>
          <t>VÄSTERBOTTENS LÄN</t>
        </is>
      </c>
      <c r="G138" t="inlineStr">
        <is>
          <t>MALÅ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46250</v>
      </c>
      <c r="F139" t="inlineStr">
        <is>
          <t>VÄSTERBOTTENS LÄN</t>
        </is>
      </c>
      <c r="G139" t="inlineStr">
        <is>
          <t>MALÅ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37535-2023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45158</v>
      </c>
      <c r="E140" s="1" t="n">
        <v>46250</v>
      </c>
      <c r="F140" t="inlineStr">
        <is>
          <t>VÄSTERBOTTENS LÄN</t>
        </is>
      </c>
      <c r="G140" t="inlineStr">
        <is>
          <t>MALÅ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45154</v>
      </c>
      <c r="E141" s="1" t="n">
        <v>46250</v>
      </c>
      <c r="F141" t="inlineStr">
        <is>
          <t>VÄSTERBOTTENS LÄN</t>
        </is>
      </c>
      <c r="G141" t="inlineStr">
        <is>
          <t>MALÅ</t>
        </is>
      </c>
      <c r="I141" t="n">
        <v>41.2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45153</v>
      </c>
      <c r="E142" s="1" t="n">
        <v>46250</v>
      </c>
      <c r="F142" t="inlineStr">
        <is>
          <t>VÄSTERBOTTENS LÄN</t>
        </is>
      </c>
      <c r="G142" t="inlineStr">
        <is>
          <t>MALÅ</t>
        </is>
      </c>
      <c r="I142" t="n">
        <v>15.7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45153</v>
      </c>
      <c r="E143" s="1" t="n">
        <v>46250</v>
      </c>
      <c r="F143" t="inlineStr">
        <is>
          <t>VÄSTERBOTTENS LÄN</t>
        </is>
      </c>
      <c r="G143" t="inlineStr">
        <is>
          <t>MALÅ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61480-2025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46001</v>
      </c>
      <c r="E144" s="1" t="n">
        <v>46250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45178</v>
      </c>
      <c r="E145" s="1" t="n">
        <v>46250</v>
      </c>
      <c r="F145" t="inlineStr">
        <is>
          <t>VÄSTERBOTTENS LÄN</t>
        </is>
      </c>
      <c r="G145" t="inlineStr">
        <is>
          <t>MALÅ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61785-2025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46250</v>
      </c>
      <c r="F146" t="inlineStr">
        <is>
          <t>VÄSTERBOTTENS LÄN</t>
        </is>
      </c>
      <c r="G146" t="inlineStr">
        <is>
          <t>MALÅ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54198-2025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45964</v>
      </c>
      <c r="E147" s="1" t="n">
        <v>46250</v>
      </c>
      <c r="F147" t="inlineStr">
        <is>
          <t>VÄSTERBOTTENS LÄN</t>
        </is>
      </c>
      <c r="G147" t="inlineStr">
        <is>
          <t>MALÅ</t>
        </is>
      </c>
      <c r="I147" t="n">
        <v>19.5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46003</v>
      </c>
      <c r="E148" s="1" t="n">
        <v>46250</v>
      </c>
      <c r="F148" t="inlineStr">
        <is>
          <t>VÄSTERBOTTENS LÄN</t>
        </is>
      </c>
      <c r="G148" t="inlineStr">
        <is>
          <t>MALÅ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19290-2026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46133</v>
      </c>
      <c r="E149" s="1" t="n">
        <v>46250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32769-2024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45516</v>
      </c>
      <c r="E150" s="1" t="n">
        <v>46250</v>
      </c>
      <c r="F150" t="inlineStr">
        <is>
          <t>VÄSTERBOTTENS LÄN</t>
        </is>
      </c>
      <c r="G150" t="inlineStr">
        <is>
          <t>MALÅ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19349-2026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46133</v>
      </c>
      <c r="E151" s="1" t="n">
        <v>46250</v>
      </c>
      <c r="F151" t="inlineStr">
        <is>
          <t>VÄSTERBOTTENS LÄN</t>
        </is>
      </c>
      <c r="G151" t="inlineStr">
        <is>
          <t>MALÅ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46066-2021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44441</v>
      </c>
      <c r="E152" s="1" t="n">
        <v>46250</v>
      </c>
      <c r="F152" t="inlineStr">
        <is>
          <t>VÄSTERBOTTENS LÄN</t>
        </is>
      </c>
      <c r="G152" t="inlineStr">
        <is>
          <t>MALÅ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46133</v>
      </c>
      <c r="E153" s="1" t="n">
        <v>46250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55.9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12680-2022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44641</v>
      </c>
      <c r="E154" s="1" t="n">
        <v>46250</v>
      </c>
      <c r="F154" t="inlineStr">
        <is>
          <t>VÄSTERBOTTENS LÄN</t>
        </is>
      </c>
      <c r="G154" t="inlineStr">
        <is>
          <t>MALÅ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19351-2026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46133</v>
      </c>
      <c r="E155" s="1" t="n">
        <v>46250</v>
      </c>
      <c r="F155" t="inlineStr">
        <is>
          <t>VÄSTERBOTTENS LÄN</t>
        </is>
      </c>
      <c r="G155" t="inlineStr">
        <is>
          <t>MALÅ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13001-2023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45002</v>
      </c>
      <c r="E156" s="1" t="n">
        <v>46250</v>
      </c>
      <c r="F156" t="inlineStr">
        <is>
          <t>VÄSTERBOTTENS LÄN</t>
        </is>
      </c>
      <c r="G156" t="inlineStr">
        <is>
          <t>MALÅ</t>
        </is>
      </c>
      <c r="H156" t="inlineStr">
        <is>
          <t>SCA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46250</v>
      </c>
      <c r="F157" t="inlineStr">
        <is>
          <t>VÄSTERBOTTENS LÄN</t>
        </is>
      </c>
      <c r="G157" t="inlineStr">
        <is>
          <t>MALÅ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51308-2023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46250</v>
      </c>
      <c r="F158" t="inlineStr">
        <is>
          <t>VÄSTERBOTTENS LÄN</t>
        </is>
      </c>
      <c r="G158" t="inlineStr">
        <is>
          <t>MALÅ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43501-2023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45184</v>
      </c>
      <c r="E159" s="1" t="n">
        <v>46250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51723-2023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45222</v>
      </c>
      <c r="E160" s="1" t="n">
        <v>46250</v>
      </c>
      <c r="F160" t="inlineStr">
        <is>
          <t>VÄSTERBOTTENS LÄN</t>
        </is>
      </c>
      <c r="G160" t="inlineStr">
        <is>
          <t>MALÅ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56662-2024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45625</v>
      </c>
      <c r="E161" s="1" t="n">
        <v>46250</v>
      </c>
      <c r="F161" t="inlineStr">
        <is>
          <t>VÄSTERBOTTENS LÄN</t>
        </is>
      </c>
      <c r="G161" t="inlineStr">
        <is>
          <t>MALÅ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44939</v>
      </c>
      <c r="E162" s="1" t="n">
        <v>46250</v>
      </c>
      <c r="F162" t="inlineStr">
        <is>
          <t>VÄSTERBOTTENS LÄN</t>
        </is>
      </c>
      <c r="G162" t="inlineStr">
        <is>
          <t>MALÅ</t>
        </is>
      </c>
      <c r="H162" t="inlineStr">
        <is>
          <t>SCA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45162</v>
      </c>
      <c r="E163" s="1" t="n">
        <v>46250</v>
      </c>
      <c r="F163" t="inlineStr">
        <is>
          <t>VÄSTERBOTTENS LÄN</t>
        </is>
      </c>
      <c r="G163" t="inlineStr">
        <is>
          <t>MALÅ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46027</v>
      </c>
      <c r="E164" s="1" t="n">
        <v>46250</v>
      </c>
      <c r="F164" t="inlineStr">
        <is>
          <t>VÄSTERBOTTENS LÄN</t>
        </is>
      </c>
      <c r="G164" t="inlineStr">
        <is>
          <t>MALÅ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46027</v>
      </c>
      <c r="E165" s="1" t="n">
        <v>46250</v>
      </c>
      <c r="F165" t="inlineStr">
        <is>
          <t>VÄSTERBOTTENS LÄN</t>
        </is>
      </c>
      <c r="G165" t="inlineStr">
        <is>
          <t>MALÅ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60591-2024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46250</v>
      </c>
      <c r="F166" t="inlineStr">
        <is>
          <t>VÄSTERBOTTENS LÄN</t>
        </is>
      </c>
      <c r="G166" t="inlineStr">
        <is>
          <t>MALÅ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61992-2024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45646</v>
      </c>
      <c r="E167" s="1" t="n">
        <v>46250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36124-2023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45149</v>
      </c>
      <c r="E168" s="1" t="n">
        <v>46250</v>
      </c>
      <c r="F168" t="inlineStr">
        <is>
          <t>VÄSTERBOTTENS LÄN</t>
        </is>
      </c>
      <c r="G168" t="inlineStr">
        <is>
          <t>MALÅ</t>
        </is>
      </c>
      <c r="I168" t="n">
        <v>26.9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45203</v>
      </c>
      <c r="E169" s="1" t="n">
        <v>46250</v>
      </c>
      <c r="F169" t="inlineStr">
        <is>
          <t>VÄSTERBOTTENS LÄN</t>
        </is>
      </c>
      <c r="G169" t="inlineStr">
        <is>
          <t>MALÅ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46250</v>
      </c>
      <c r="F170" t="inlineStr">
        <is>
          <t>VÄSTERBOTTENS LÄN</t>
        </is>
      </c>
      <c r="G170" t="inlineStr">
        <is>
          <t>MALÅ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46250</v>
      </c>
      <c r="F171" t="inlineStr">
        <is>
          <t>VÄSTERBOTTENS LÄN</t>
        </is>
      </c>
      <c r="G171" t="inlineStr">
        <is>
          <t>MALÅ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45170</v>
      </c>
      <c r="E172" s="1" t="n">
        <v>46250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23.4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60702-2024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45642</v>
      </c>
      <c r="E173" s="1" t="n">
        <v>46250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46031</v>
      </c>
      <c r="E174" s="1" t="n">
        <v>46250</v>
      </c>
      <c r="F174" t="inlineStr">
        <is>
          <t>VÄSTERBOTTENS LÄN</t>
        </is>
      </c>
      <c r="G174" t="inlineStr">
        <is>
          <t>MALÅ</t>
        </is>
      </c>
      <c r="I174" t="n">
        <v>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46250</v>
      </c>
      <c r="F175" t="inlineStr">
        <is>
          <t>VÄSTERBOTTENS LÄN</t>
        </is>
      </c>
      <c r="G175" t="inlineStr">
        <is>
          <t>MALÅ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45201</v>
      </c>
      <c r="E176" s="1" t="n">
        <v>46250</v>
      </c>
      <c r="F176" t="inlineStr">
        <is>
          <t>VÄSTERBOTTENS LÄN</t>
        </is>
      </c>
      <c r="G176" t="inlineStr">
        <is>
          <t>MALÅ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15847-2023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45022</v>
      </c>
      <c r="E177" s="1" t="n">
        <v>46250</v>
      </c>
      <c r="F177" t="inlineStr">
        <is>
          <t>VÄSTERBOTTENS LÄN</t>
        </is>
      </c>
      <c r="G177" t="inlineStr">
        <is>
          <t>MALÅ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15850-2023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45022</v>
      </c>
      <c r="E178" s="1" t="n">
        <v>46250</v>
      </c>
      <c r="F178" t="inlineStr">
        <is>
          <t>VÄSTERBOTTENS LÄN</t>
        </is>
      </c>
      <c r="G178" t="inlineStr">
        <is>
          <t>MALÅ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45736</v>
      </c>
      <c r="E179" s="1" t="n">
        <v>46250</v>
      </c>
      <c r="F179" t="inlineStr">
        <is>
          <t>VÄSTERBOTTENS LÄN</t>
        </is>
      </c>
      <c r="G179" t="inlineStr">
        <is>
          <t>MALÅ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40822-2023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45171</v>
      </c>
      <c r="E180" s="1" t="n">
        <v>46250</v>
      </c>
      <c r="F180" t="inlineStr">
        <is>
          <t>VÄSTERBOTTENS LÄN</t>
        </is>
      </c>
      <c r="G180" t="inlineStr">
        <is>
          <t>MALÅ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44626-2023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45184</v>
      </c>
      <c r="E181" s="1" t="n">
        <v>46250</v>
      </c>
      <c r="F181" t="inlineStr">
        <is>
          <t>VÄSTERBOTTENS LÄN</t>
        </is>
      </c>
      <c r="G181" t="inlineStr">
        <is>
          <t>MALÅ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45168</v>
      </c>
      <c r="E182" s="1" t="n">
        <v>46250</v>
      </c>
      <c r="F182" t="inlineStr">
        <is>
          <t>VÄSTERBOTTENS LÄN</t>
        </is>
      </c>
      <c r="G182" t="inlineStr">
        <is>
          <t>MALÅ</t>
        </is>
      </c>
      <c r="I182" t="n">
        <v>27.9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45807-2023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45189</v>
      </c>
      <c r="E183" s="1" t="n">
        <v>46250</v>
      </c>
      <c r="F183" t="inlineStr">
        <is>
          <t>VÄSTERBOTTENS LÄN</t>
        </is>
      </c>
      <c r="G183" t="inlineStr">
        <is>
          <t>MALÅ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46250</v>
      </c>
      <c r="F184" t="inlineStr">
        <is>
          <t>VÄSTERBOTTENS LÄN</t>
        </is>
      </c>
      <c r="G184" t="inlineStr">
        <is>
          <t>MALÅ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1900-2026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46035</v>
      </c>
      <c r="E185" s="1" t="n">
        <v>46250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16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45236</v>
      </c>
      <c r="E186" s="1" t="n">
        <v>46250</v>
      </c>
      <c r="F186" t="inlineStr">
        <is>
          <t>VÄSTERBOTTENS LÄN</t>
        </is>
      </c>
      <c r="G186" t="inlineStr">
        <is>
          <t>MALÅ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45210</v>
      </c>
      <c r="E187" s="1" t="n">
        <v>46250</v>
      </c>
      <c r="F187" t="inlineStr">
        <is>
          <t>VÄSTERBOTTENS LÄN</t>
        </is>
      </c>
      <c r="G187" t="inlineStr">
        <is>
          <t>MALÅ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49840-2023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45210</v>
      </c>
      <c r="E188" s="1" t="n">
        <v>46250</v>
      </c>
      <c r="F188" t="inlineStr">
        <is>
          <t>VÄSTERBOTTENS LÄN</t>
        </is>
      </c>
      <c r="G188" t="inlineStr">
        <is>
          <t>MALÅ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45714</v>
      </c>
      <c r="E189" s="1" t="n">
        <v>46250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18.7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59463-2025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46250</v>
      </c>
      <c r="F190" t="inlineStr">
        <is>
          <t>VÄSTERBOTTENS LÄN</t>
        </is>
      </c>
      <c r="G190" t="inlineStr">
        <is>
          <t>MALÅ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3471-2026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46042</v>
      </c>
      <c r="E191" s="1" t="n">
        <v>46250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7.5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45160</v>
      </c>
      <c r="E192" s="1" t="n">
        <v>46250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21.8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46359-2023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45193</v>
      </c>
      <c r="E193" s="1" t="n">
        <v>46250</v>
      </c>
      <c r="F193" t="inlineStr">
        <is>
          <t>VÄSTERBOTTENS LÄN</t>
        </is>
      </c>
      <c r="G193" t="inlineStr">
        <is>
          <t>MALÅ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45154</v>
      </c>
      <c r="E194" s="1" t="n">
        <v>46250</v>
      </c>
      <c r="F194" t="inlineStr">
        <is>
          <t>VÄSTERBOTTENS LÄN</t>
        </is>
      </c>
      <c r="G194" t="inlineStr">
        <is>
          <t>MALÅ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44426-2023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45188</v>
      </c>
      <c r="E195" s="1" t="n">
        <v>46250</v>
      </c>
      <c r="F195" t="inlineStr">
        <is>
          <t>VÄSTERBOTTENS LÄN</t>
        </is>
      </c>
      <c r="G195" t="inlineStr">
        <is>
          <t>MALÅ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41792-2023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45176</v>
      </c>
      <c r="E196" s="1" t="n">
        <v>46250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10.7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39148-2023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45166</v>
      </c>
      <c r="E197" s="1" t="n">
        <v>46250</v>
      </c>
      <c r="F197" t="inlineStr">
        <is>
          <t>VÄSTERBOTTENS LÄN</t>
        </is>
      </c>
      <c r="G197" t="inlineStr">
        <is>
          <t>MALÅ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45102-2023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45190</v>
      </c>
      <c r="E198" s="1" t="n">
        <v>46250</v>
      </c>
      <c r="F198" t="inlineStr">
        <is>
          <t>VÄSTERBOTTENS LÄN</t>
        </is>
      </c>
      <c r="G198" t="inlineStr">
        <is>
          <t>MALÅ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59561-2024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45638</v>
      </c>
      <c r="E199" s="1" t="n">
        <v>46250</v>
      </c>
      <c r="F199" t="inlineStr">
        <is>
          <t>VÄSTERBOTTENS LÄN</t>
        </is>
      </c>
      <c r="G199" t="inlineStr">
        <is>
          <t>MALÅ</t>
        </is>
      </c>
      <c r="I199" t="n">
        <v>11.4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45155</v>
      </c>
      <c r="E200" s="1" t="n">
        <v>46250</v>
      </c>
      <c r="F200" t="inlineStr">
        <is>
          <t>VÄSTERBOTTENS LÄN</t>
        </is>
      </c>
      <c r="G200" t="inlineStr">
        <is>
          <t>MALÅ</t>
        </is>
      </c>
      <c r="I200" t="n">
        <v>48.2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67679-2021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44524</v>
      </c>
      <c r="E201" s="1" t="n">
        <v>46250</v>
      </c>
      <c r="F201" t="inlineStr">
        <is>
          <t>VÄSTERBOTTENS LÄN</t>
        </is>
      </c>
      <c r="G201" t="inlineStr">
        <is>
          <t>MALÅ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46250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15.6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45174</v>
      </c>
      <c r="E203" s="1" t="n">
        <v>46250</v>
      </c>
      <c r="F203" t="inlineStr">
        <is>
          <t>VÄSTERBOTTENS LÄN</t>
        </is>
      </c>
      <c r="G203" t="inlineStr">
        <is>
          <t>MALÅ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45166</v>
      </c>
      <c r="E204" s="1" t="n">
        <v>46250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56638-2024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45625</v>
      </c>
      <c r="E205" s="1" t="n">
        <v>46250</v>
      </c>
      <c r="F205" t="inlineStr">
        <is>
          <t>VÄSTERBOTTENS LÄN</t>
        </is>
      </c>
      <c r="G205" t="inlineStr">
        <is>
          <t>MALÅ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45204</v>
      </c>
      <c r="E206" s="1" t="n">
        <v>46250</v>
      </c>
      <c r="F206" t="inlineStr">
        <is>
          <t>VÄSTERBOTTENS LÄN</t>
        </is>
      </c>
      <c r="G206" t="inlineStr">
        <is>
          <t>MALÅ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45244</v>
      </c>
      <c r="E207" s="1" t="n">
        <v>46250</v>
      </c>
      <c r="F207" t="inlineStr">
        <is>
          <t>VÄSTERBOTTENS LÄN</t>
        </is>
      </c>
      <c r="G207" t="inlineStr">
        <is>
          <t>MALÅ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35917-2022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46250</v>
      </c>
      <c r="F208" t="inlineStr">
        <is>
          <t>VÄSTERBOTTENS LÄN</t>
        </is>
      </c>
      <c r="G208" t="inlineStr">
        <is>
          <t>MALÅ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8648-2026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46066</v>
      </c>
      <c r="E209" s="1" t="n">
        <v>46250</v>
      </c>
      <c r="F209" t="inlineStr">
        <is>
          <t>VÄSTERBOTTENS LÄN</t>
        </is>
      </c>
      <c r="G209" t="inlineStr">
        <is>
          <t>MALÅ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46250</v>
      </c>
      <c r="F210" t="inlineStr">
        <is>
          <t>VÄSTERBOTTENS LÄN</t>
        </is>
      </c>
      <c r="G210" t="inlineStr">
        <is>
          <t>MALÅ</t>
        </is>
      </c>
      <c r="H210" t="inlineStr">
        <is>
          <t>SCA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9311-2026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46070</v>
      </c>
      <c r="E211" s="1" t="n">
        <v>46250</v>
      </c>
      <c r="F211" t="inlineStr">
        <is>
          <t>VÄSTERBOTTENS LÄN</t>
        </is>
      </c>
      <c r="G211" t="inlineStr">
        <is>
          <t>MALÅ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15857-2023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45022</v>
      </c>
      <c r="E212" s="1" t="n">
        <v>46250</v>
      </c>
      <c r="F212" t="inlineStr">
        <is>
          <t>VÄSTERBOTTENS LÄN</t>
        </is>
      </c>
      <c r="G212" t="inlineStr">
        <is>
          <t>MALÅ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60624-2024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45642</v>
      </c>
      <c r="E213" s="1" t="n">
        <v>46250</v>
      </c>
      <c r="F213" t="inlineStr">
        <is>
          <t>VÄSTERBOTTENS LÄN</t>
        </is>
      </c>
      <c r="G213" t="inlineStr">
        <is>
          <t>MALÅ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54239-2022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44881</v>
      </c>
      <c r="E214" s="1" t="n">
        <v>46250</v>
      </c>
      <c r="F214" t="inlineStr">
        <is>
          <t>VÄSTERBOTTENS LÄN</t>
        </is>
      </c>
      <c r="G214" t="inlineStr">
        <is>
          <t>MALÅ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45667</v>
      </c>
      <c r="E215" s="1" t="n">
        <v>46250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45595</v>
      </c>
      <c r="E216" s="1" t="n">
        <v>46250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46072</v>
      </c>
      <c r="E217" s="1" t="n">
        <v>46250</v>
      </c>
      <c r="F217" t="inlineStr">
        <is>
          <t>VÄSTERBOTTENS LÄN</t>
        </is>
      </c>
      <c r="G217" t="inlineStr">
        <is>
          <t>MALÅ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45154</v>
      </c>
      <c r="E218" s="1" t="n">
        <v>46250</v>
      </c>
      <c r="F218" t="inlineStr">
        <is>
          <t>VÄSTERBOTTENS LÄN</t>
        </is>
      </c>
      <c r="G218" t="inlineStr">
        <is>
          <t>MALÅ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42214-2023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45179</v>
      </c>
      <c r="E219" s="1" t="n">
        <v>46250</v>
      </c>
      <c r="F219" t="inlineStr">
        <is>
          <t>VÄSTERBOTTENS LÄN</t>
        </is>
      </c>
      <c r="G219" t="inlineStr">
        <is>
          <t>MALÅ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45233</v>
      </c>
      <c r="E220" s="1" t="n">
        <v>46250</v>
      </c>
      <c r="F220" t="inlineStr">
        <is>
          <t>VÄSTERBOTTENS LÄN</t>
        </is>
      </c>
      <c r="G220" t="inlineStr">
        <is>
          <t>MALÅ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45178</v>
      </c>
      <c r="E221" s="1" t="n">
        <v>46250</v>
      </c>
      <c r="F221" t="inlineStr">
        <is>
          <t>VÄSTERBOTTENS LÄN</t>
        </is>
      </c>
      <c r="G221" t="inlineStr">
        <is>
          <t>MALÅ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48731-2023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45203</v>
      </c>
      <c r="E222" s="1" t="n">
        <v>46250</v>
      </c>
      <c r="F222" t="inlineStr">
        <is>
          <t>VÄSTERBOTTENS LÄN</t>
        </is>
      </c>
      <c r="G222" t="inlineStr">
        <is>
          <t>MALÅ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39790-2023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45167</v>
      </c>
      <c r="E223" s="1" t="n">
        <v>46250</v>
      </c>
      <c r="F223" t="inlineStr">
        <is>
          <t>VÄSTERBOTTENS LÄN</t>
        </is>
      </c>
      <c r="G223" t="inlineStr">
        <is>
          <t>MALÅ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46250</v>
      </c>
      <c r="F224" t="inlineStr">
        <is>
          <t>VÄSTERBOTTENS LÄN</t>
        </is>
      </c>
      <c r="G224" t="inlineStr">
        <is>
          <t>MALÅ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55507-2024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45622</v>
      </c>
      <c r="E225" s="1" t="n">
        <v>46250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53068-2023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45227</v>
      </c>
      <c r="E226" s="1" t="n">
        <v>46250</v>
      </c>
      <c r="F226" t="inlineStr">
        <is>
          <t>VÄSTERBOTTENS LÄN</t>
        </is>
      </c>
      <c r="G226" t="inlineStr">
        <is>
          <t>MALÅ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45173</v>
      </c>
      <c r="E227" s="1" t="n">
        <v>46250</v>
      </c>
      <c r="F227" t="inlineStr">
        <is>
          <t>VÄSTERBOTTENS LÄN</t>
        </is>
      </c>
      <c r="G227" t="inlineStr">
        <is>
          <t>MALÅ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51383-2023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45219</v>
      </c>
      <c r="E228" s="1" t="n">
        <v>46250</v>
      </c>
      <c r="F228" t="inlineStr">
        <is>
          <t>VÄSTERBOTTENS LÄN</t>
        </is>
      </c>
      <c r="G228" t="inlineStr">
        <is>
          <t>MALÅ</t>
        </is>
      </c>
      <c r="H228" t="inlineStr">
        <is>
          <t>Sveaskog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46250</v>
      </c>
      <c r="F229" t="inlineStr">
        <is>
          <t>VÄSTERBOTTENS LÄN</t>
        </is>
      </c>
      <c r="G229" t="inlineStr">
        <is>
          <t>MALÅ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22308-2026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46250</v>
      </c>
      <c r="F230" t="inlineStr">
        <is>
          <t>VÄSTERBOTTENS LÄN</t>
        </is>
      </c>
      <c r="G230" t="inlineStr">
        <is>
          <t>MALÅ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62124-2024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46250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46250</v>
      </c>
      <c r="F232" t="inlineStr">
        <is>
          <t>VÄSTERBOTTENS LÄN</t>
        </is>
      </c>
      <c r="G232" t="inlineStr">
        <is>
          <t>MALÅ</t>
        </is>
      </c>
      <c r="I232" t="n">
        <v>26.3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9947-2025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45719</v>
      </c>
      <c r="E233" s="1" t="n">
        <v>46250</v>
      </c>
      <c r="F233" t="inlineStr">
        <is>
          <t>VÄSTERBOTTENS LÄN</t>
        </is>
      </c>
      <c r="G233" t="inlineStr">
        <is>
          <t>MALÅ</t>
        </is>
      </c>
      <c r="I233" t="n">
        <v>9.300000000000001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57303-2023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46250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55671-2023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45238</v>
      </c>
      <c r="E235" s="1" t="n">
        <v>46250</v>
      </c>
      <c r="F235" t="inlineStr">
        <is>
          <t>VÄSTERBOTTENS LÄN</t>
        </is>
      </c>
      <c r="G235" t="inlineStr">
        <is>
          <t>MALÅ</t>
        </is>
      </c>
      <c r="H235" t="inlineStr">
        <is>
          <t>SCA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60577-2022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44911</v>
      </c>
      <c r="E236" s="1" t="n">
        <v>46250</v>
      </c>
      <c r="F236" t="inlineStr">
        <is>
          <t>VÄSTERBOTTENS LÄN</t>
        </is>
      </c>
      <c r="G236" t="inlineStr">
        <is>
          <t>MALÅ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32618-2023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46250</v>
      </c>
      <c r="F237" t="inlineStr">
        <is>
          <t>VÄSTERBOTTENS LÄN</t>
        </is>
      </c>
      <c r="G237" t="inlineStr">
        <is>
          <t>MALÅ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45175</v>
      </c>
      <c r="E238" s="1" t="n">
        <v>46250</v>
      </c>
      <c r="F238" t="inlineStr">
        <is>
          <t>VÄSTERBOTTENS LÄN</t>
        </is>
      </c>
      <c r="G238" t="inlineStr">
        <is>
          <t>MALÅ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39794-2023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45167</v>
      </c>
      <c r="E239" s="1" t="n">
        <v>46250</v>
      </c>
      <c r="F239" t="inlineStr">
        <is>
          <t>VÄSTERBOTTENS LÄN</t>
        </is>
      </c>
      <c r="G239" t="inlineStr">
        <is>
          <t>MALÅ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45688</v>
      </c>
      <c r="E240" s="1" t="n">
        <v>46250</v>
      </c>
      <c r="F240" t="inlineStr">
        <is>
          <t>VÄSTERBOTTENS LÄN</t>
        </is>
      </c>
      <c r="G240" t="inlineStr">
        <is>
          <t>MALÅ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45158</v>
      </c>
      <c r="E241" s="1" t="n">
        <v>46250</v>
      </c>
      <c r="F241" t="inlineStr">
        <is>
          <t>VÄSTERBOTTENS LÄN</t>
        </is>
      </c>
      <c r="G241" t="inlineStr">
        <is>
          <t>MALÅ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46250</v>
      </c>
      <c r="F242" t="inlineStr">
        <is>
          <t>VÄSTERBOTTENS LÄN</t>
        </is>
      </c>
      <c r="G242" t="inlineStr">
        <is>
          <t>MALÅ</t>
        </is>
      </c>
      <c r="I242" t="n">
        <v>30.4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45156</v>
      </c>
      <c r="E243" s="1" t="n">
        <v>46250</v>
      </c>
      <c r="F243" t="inlineStr">
        <is>
          <t>VÄSTERBOTTENS LÄN</t>
        </is>
      </c>
      <c r="G243" t="inlineStr">
        <is>
          <t>MALÅ</t>
        </is>
      </c>
      <c r="I243" t="n">
        <v>7.3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41672-2025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45902</v>
      </c>
      <c r="E244" s="1" t="n">
        <v>46250</v>
      </c>
      <c r="F244" t="inlineStr">
        <is>
          <t>VÄSTERBOTTENS LÄN</t>
        </is>
      </c>
      <c r="G244" t="inlineStr">
        <is>
          <t>MALÅ</t>
        </is>
      </c>
      <c r="I244" t="n">
        <v>8.199999999999999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39385-2023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45166</v>
      </c>
      <c r="E245" s="1" t="n">
        <v>46250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45636</v>
      </c>
      <c r="E246" s="1" t="n">
        <v>46250</v>
      </c>
      <c r="F246" t="inlineStr">
        <is>
          <t>VÄSTERBOTTENS LÄN</t>
        </is>
      </c>
      <c r="G246" t="inlineStr">
        <is>
          <t>MALÅ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29450-2024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45483</v>
      </c>
      <c r="E247" s="1" t="n">
        <v>46250</v>
      </c>
      <c r="F247" t="inlineStr">
        <is>
          <t>VÄSTERBOTTENS LÄN</t>
        </is>
      </c>
      <c r="G247" t="inlineStr">
        <is>
          <t>MALÅ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37444-2023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45155</v>
      </c>
      <c r="E248" s="1" t="n">
        <v>46250</v>
      </c>
      <c r="F248" t="inlineStr">
        <is>
          <t>VÄSTERBOTTENS LÄN</t>
        </is>
      </c>
      <c r="G248" t="inlineStr">
        <is>
          <t>MALÅ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36425-2023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45152</v>
      </c>
      <c r="E249" s="1" t="n">
        <v>46250</v>
      </c>
      <c r="F249" t="inlineStr">
        <is>
          <t>VÄSTERBOTTENS LÄN</t>
        </is>
      </c>
      <c r="G249" t="inlineStr">
        <is>
          <t>MALÅ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30502-2026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46210</v>
      </c>
      <c r="E250" s="1" t="n">
        <v>46250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45610</v>
      </c>
      <c r="E251" s="1" t="n">
        <v>46250</v>
      </c>
      <c r="F251" t="inlineStr">
        <is>
          <t>VÄSTERBOTTENS LÄN</t>
        </is>
      </c>
      <c r="G251" t="inlineStr">
        <is>
          <t>MALÅ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36695-2023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45152</v>
      </c>
      <c r="E252" s="1" t="n">
        <v>46250</v>
      </c>
      <c r="F252" t="inlineStr">
        <is>
          <t>VÄSTERBOTTENS LÄN</t>
        </is>
      </c>
      <c r="G252" t="inlineStr">
        <is>
          <t>MALÅ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23631-2024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45454</v>
      </c>
      <c r="E253" s="1" t="n">
        <v>46250</v>
      </c>
      <c r="F253" t="inlineStr">
        <is>
          <t>VÄSTERBOTTENS LÄN</t>
        </is>
      </c>
      <c r="G253" t="inlineStr">
        <is>
          <t>MALÅ</t>
        </is>
      </c>
      <c r="I253" t="n">
        <v>9.4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45750</v>
      </c>
      <c r="E254" s="1" t="n">
        <v>46250</v>
      </c>
      <c r="F254" t="inlineStr">
        <is>
          <t>VÄSTERBOTTENS LÄN</t>
        </is>
      </c>
      <c r="G254" t="inlineStr">
        <is>
          <t>MALÅ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57499-2022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44889</v>
      </c>
      <c r="E255" s="1" t="n">
        <v>46250</v>
      </c>
      <c r="F255" t="inlineStr">
        <is>
          <t>VÄSTERBOTTENS LÄN</t>
        </is>
      </c>
      <c r="G255" t="inlineStr">
        <is>
          <t>MALÅ</t>
        </is>
      </c>
      <c r="I255" t="n">
        <v>10.2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59801-2021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44491</v>
      </c>
      <c r="E256" s="1" t="n">
        <v>46250</v>
      </c>
      <c r="F256" t="inlineStr">
        <is>
          <t>VÄSTERBOTTENS LÄN</t>
        </is>
      </c>
      <c r="G256" t="inlineStr">
        <is>
          <t>MALÅ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67383-2021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44523</v>
      </c>
      <c r="E257" s="1" t="n">
        <v>46250</v>
      </c>
      <c r="F257" t="inlineStr">
        <is>
          <t>VÄSTERBOTTENS LÄN</t>
        </is>
      </c>
      <c r="G257" t="inlineStr">
        <is>
          <t>MALÅ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32979-2024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45516</v>
      </c>
      <c r="E258" s="1" t="n">
        <v>46250</v>
      </c>
      <c r="F258" t="inlineStr">
        <is>
          <t>VÄSTERBOTTENS LÄN</t>
        </is>
      </c>
      <c r="G258" t="inlineStr">
        <is>
          <t>MALÅ</t>
        </is>
      </c>
      <c r="I258" t="n">
        <v>15.5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45789-2023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45189</v>
      </c>
      <c r="E259" s="1" t="n">
        <v>46250</v>
      </c>
      <c r="F259" t="inlineStr">
        <is>
          <t>VÄSTERBOTTENS LÄN</t>
        </is>
      </c>
      <c r="G259" t="inlineStr">
        <is>
          <t>MALÅ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46989-2023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46250</v>
      </c>
      <c r="F260" t="inlineStr">
        <is>
          <t>VÄSTERBOTTENS LÄN</t>
        </is>
      </c>
      <c r="G260" t="inlineStr">
        <is>
          <t>MALÅ</t>
        </is>
      </c>
      <c r="I260" t="n">
        <v>22.9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51387-2023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46250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45645</v>
      </c>
      <c r="E262" s="1" t="n">
        <v>46250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39663-2023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45167</v>
      </c>
      <c r="E263" s="1" t="n">
        <v>46250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30.8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45152</v>
      </c>
      <c r="E264" s="1" t="n">
        <v>46250</v>
      </c>
      <c r="F264" t="inlineStr">
        <is>
          <t>VÄSTERBOTTENS LÄN</t>
        </is>
      </c>
      <c r="G264" t="inlineStr">
        <is>
          <t>MALÅ</t>
        </is>
      </c>
      <c r="I264" t="n">
        <v>16.6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40593-2023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45170</v>
      </c>
      <c r="E265" s="1" t="n">
        <v>46250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18.2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45154</v>
      </c>
      <c r="E266" s="1" t="n">
        <v>46250</v>
      </c>
      <c r="F266" t="inlineStr">
        <is>
          <t>VÄSTERBOTTENS LÄN</t>
        </is>
      </c>
      <c r="G266" t="inlineStr">
        <is>
          <t>MALÅ</t>
        </is>
      </c>
      <c r="I266" t="n">
        <v>63.5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46250</v>
      </c>
      <c r="F267" t="inlineStr">
        <is>
          <t>VÄSTERBOTTENS LÄN</t>
        </is>
      </c>
      <c r="G267" t="inlineStr">
        <is>
          <t>MALÅ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46250</v>
      </c>
      <c r="F268" t="inlineStr">
        <is>
          <t>VÄSTERBOTTENS LÄN</t>
        </is>
      </c>
      <c r="G268" t="inlineStr">
        <is>
          <t>MALÅ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47797-2021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44448</v>
      </c>
      <c r="E269" s="1" t="n">
        <v>46250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24925-2025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45799</v>
      </c>
      <c r="E270" s="1" t="n">
        <v>46250</v>
      </c>
      <c r="F270" t="inlineStr">
        <is>
          <t>VÄSTERBOTTENS LÄN</t>
        </is>
      </c>
      <c r="G270" t="inlineStr">
        <is>
          <t>MALÅ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29375-2023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45098</v>
      </c>
      <c r="E271" s="1" t="n">
        <v>46250</v>
      </c>
      <c r="F271" t="inlineStr">
        <is>
          <t>VÄSTERBOTTENS LÄN</t>
        </is>
      </c>
      <c r="G271" t="inlineStr">
        <is>
          <t>MALÅ</t>
        </is>
      </c>
      <c r="I271" t="n">
        <v>10.5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48224-2024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45590</v>
      </c>
      <c r="E272" s="1" t="n">
        <v>46250</v>
      </c>
      <c r="F272" t="inlineStr">
        <is>
          <t>VÄSTERBOTTENS LÄN</t>
        </is>
      </c>
      <c r="G272" t="inlineStr">
        <is>
          <t>MALÅ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45799</v>
      </c>
      <c r="E273" s="1" t="n">
        <v>46250</v>
      </c>
      <c r="F273" t="inlineStr">
        <is>
          <t>VÄSTERBOTTENS LÄN</t>
        </is>
      </c>
      <c r="G273" t="inlineStr">
        <is>
          <t>MALÅ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45201</v>
      </c>
      <c r="E274" s="1" t="n">
        <v>46250</v>
      </c>
      <c r="F274" t="inlineStr">
        <is>
          <t>VÄSTERBOTTENS LÄN</t>
        </is>
      </c>
      <c r="G274" t="inlineStr">
        <is>
          <t>MALÅ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37688-2024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45541</v>
      </c>
      <c r="E275" s="1" t="n">
        <v>46250</v>
      </c>
      <c r="F275" t="inlineStr">
        <is>
          <t>VÄSTERBOTTENS LÄN</t>
        </is>
      </c>
      <c r="G275" t="inlineStr">
        <is>
          <t>MALÅ</t>
        </is>
      </c>
      <c r="I275" t="n">
        <v>13.3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26892-2022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44740</v>
      </c>
      <c r="E276" s="1" t="n">
        <v>46250</v>
      </c>
      <c r="F276" t="inlineStr">
        <is>
          <t>VÄSTERBOTTENS LÄN</t>
        </is>
      </c>
      <c r="G276" t="inlineStr">
        <is>
          <t>MALÅ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60616-2024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45642</v>
      </c>
      <c r="E277" s="1" t="n">
        <v>46250</v>
      </c>
      <c r="F277" t="inlineStr">
        <is>
          <t>VÄSTERBOTTENS LÄN</t>
        </is>
      </c>
      <c r="G277" t="inlineStr">
        <is>
          <t>MALÅ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45162</v>
      </c>
      <c r="E278" s="1" t="n">
        <v>46250</v>
      </c>
      <c r="F278" t="inlineStr">
        <is>
          <t>VÄSTERBOTTENS LÄN</t>
        </is>
      </c>
      <c r="G278" t="inlineStr">
        <is>
          <t>MALÅ</t>
        </is>
      </c>
      <c r="I278" t="n">
        <v>17.5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45187</v>
      </c>
      <c r="E279" s="1" t="n">
        <v>46250</v>
      </c>
      <c r="F279" t="inlineStr">
        <is>
          <t>VÄSTERBOTTENS LÄN</t>
        </is>
      </c>
      <c r="G279" t="inlineStr">
        <is>
          <t>MALÅ</t>
        </is>
      </c>
      <c r="H279" t="inlineStr">
        <is>
          <t>SCA</t>
        </is>
      </c>
      <c r="I279" t="n">
        <v>11.5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44513-2023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45189</v>
      </c>
      <c r="E280" s="1" t="n">
        <v>46250</v>
      </c>
      <c r="F280" t="inlineStr">
        <is>
          <t>VÄSTERBOTTENS LÄN</t>
        </is>
      </c>
      <c r="G280" t="inlineStr">
        <is>
          <t>MALÅ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45152</v>
      </c>
      <c r="E281" s="1" t="n">
        <v>46250</v>
      </c>
      <c r="F281" t="inlineStr">
        <is>
          <t>VÄSTERBOTTENS LÄN</t>
        </is>
      </c>
      <c r="G281" t="inlineStr">
        <is>
          <t>MALÅ</t>
        </is>
      </c>
      <c r="I281" t="n">
        <v>13.3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31529-2026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46223</v>
      </c>
      <c r="E282" s="1" t="n">
        <v>46250</v>
      </c>
      <c r="F282" t="inlineStr">
        <is>
          <t>VÄSTERBOTTENS LÄN</t>
        </is>
      </c>
      <c r="G282" t="inlineStr">
        <is>
          <t>MALÅ</t>
        </is>
      </c>
      <c r="H282" t="inlineStr">
        <is>
          <t>SCA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31535-2026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46223</v>
      </c>
      <c r="E283" s="1" t="n">
        <v>46250</v>
      </c>
      <c r="F283" t="inlineStr">
        <is>
          <t>VÄSTERBOTTENS LÄN</t>
        </is>
      </c>
      <c r="G283" t="inlineStr">
        <is>
          <t>MALÅ</t>
        </is>
      </c>
      <c r="H283" t="inlineStr">
        <is>
          <t>SCA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46250</v>
      </c>
      <c r="F284" t="inlineStr">
        <is>
          <t>VÄSTERBOTTENS LÄN</t>
        </is>
      </c>
      <c r="G284" t="inlineStr">
        <is>
          <t>MALÅ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45601</v>
      </c>
      <c r="E285" s="1" t="n">
        <v>46250</v>
      </c>
      <c r="F285" t="inlineStr">
        <is>
          <t>VÄSTERBOTTENS LÄN</t>
        </is>
      </c>
      <c r="G285" t="inlineStr">
        <is>
          <t>MALÅ</t>
        </is>
      </c>
      <c r="H285" t="inlineStr">
        <is>
          <t>SCA</t>
        </is>
      </c>
      <c r="I285" t="n">
        <v>25.9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46250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14.7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46183</v>
      </c>
      <c r="E287" s="1" t="n">
        <v>46250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50517-2024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46250</v>
      </c>
      <c r="F288" t="inlineStr">
        <is>
          <t>VÄSTERBOTTENS LÄN</t>
        </is>
      </c>
      <c r="G288" t="inlineStr">
        <is>
          <t>MALÅ</t>
        </is>
      </c>
      <c r="H288" t="inlineStr">
        <is>
          <t>SCA</t>
        </is>
      </c>
      <c r="I288" t="n">
        <v>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48089-2024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45589</v>
      </c>
      <c r="E289" s="1" t="n">
        <v>46250</v>
      </c>
      <c r="F289" t="inlineStr">
        <is>
          <t>VÄSTERBOTTENS LÄN</t>
        </is>
      </c>
      <c r="G289" t="inlineStr">
        <is>
          <t>MALÅ</t>
        </is>
      </c>
      <c r="H289" t="inlineStr">
        <is>
          <t>SCA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61605-2024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45645</v>
      </c>
      <c r="E290" s="1" t="n">
        <v>46250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45101-2023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45190</v>
      </c>
      <c r="E291" s="1" t="n">
        <v>46250</v>
      </c>
      <c r="F291" t="inlineStr">
        <is>
          <t>VÄSTERBOTTENS LÄN</t>
        </is>
      </c>
      <c r="G291" t="inlineStr">
        <is>
          <t>MALÅ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46185</v>
      </c>
      <c r="E292" s="1" t="n">
        <v>46250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36742-2023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45153</v>
      </c>
      <c r="E293" s="1" t="n">
        <v>46250</v>
      </c>
      <c r="F293" t="inlineStr">
        <is>
          <t>VÄSTERBOTTENS LÄN</t>
        </is>
      </c>
      <c r="G293" t="inlineStr">
        <is>
          <t>MALÅ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36747-2023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45153</v>
      </c>
      <c r="E294" s="1" t="n">
        <v>46250</v>
      </c>
      <c r="F294" t="inlineStr">
        <is>
          <t>VÄSTERBOTTENS LÄN</t>
        </is>
      </c>
      <c r="G294" t="inlineStr">
        <is>
          <t>MALÅ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46377-2023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45193</v>
      </c>
      <c r="E295" s="1" t="n">
        <v>46250</v>
      </c>
      <c r="F295" t="inlineStr">
        <is>
          <t>VÄSTERBOTTENS LÄN</t>
        </is>
      </c>
      <c r="G295" t="inlineStr">
        <is>
          <t>MALÅ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46393-2023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45193</v>
      </c>
      <c r="E296" s="1" t="n">
        <v>46250</v>
      </c>
      <c r="F296" t="inlineStr">
        <is>
          <t>VÄSTERBOTTENS LÄN</t>
        </is>
      </c>
      <c r="G296" t="inlineStr">
        <is>
          <t>MALÅ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45180</v>
      </c>
      <c r="E297" s="1" t="n">
        <v>46250</v>
      </c>
      <c r="F297" t="inlineStr">
        <is>
          <t>VÄSTERBOTTENS LÄN</t>
        </is>
      </c>
      <c r="G297" t="inlineStr">
        <is>
          <t>MALÅ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46063-2023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45196</v>
      </c>
      <c r="E298" s="1" t="n">
        <v>46250</v>
      </c>
      <c r="F298" t="inlineStr">
        <is>
          <t>VÄSTERBOTTENS LÄN</t>
        </is>
      </c>
      <c r="G298" t="inlineStr">
        <is>
          <t>MALÅ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27466-2026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46189</v>
      </c>
      <c r="E299" s="1" t="n">
        <v>46250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9.9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27490-2026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46189</v>
      </c>
      <c r="E300" s="1" t="n">
        <v>46250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46189</v>
      </c>
      <c r="E301" s="1" t="n">
        <v>46250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46189</v>
      </c>
      <c r="E302" s="1" t="n">
        <v>46250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27474-2026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46189</v>
      </c>
      <c r="E303" s="1" t="n">
        <v>46250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42988-2023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45182</v>
      </c>
      <c r="E304" s="1" t="n">
        <v>46250</v>
      </c>
      <c r="F304" t="inlineStr">
        <is>
          <t>VÄSTERBOTTENS LÄN</t>
        </is>
      </c>
      <c r="G304" t="inlineStr">
        <is>
          <t>MALÅ</t>
        </is>
      </c>
      <c r="I304" t="n">
        <v>10.5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61990-2024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46250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46232</v>
      </c>
      <c r="E306" s="1" t="n">
        <v>46250</v>
      </c>
      <c r="F306" t="inlineStr">
        <is>
          <t>VÄSTERBOTTENS LÄN</t>
        </is>
      </c>
      <c r="G306" t="inlineStr">
        <is>
          <t>MALÅ</t>
        </is>
      </c>
      <c r="H306" t="inlineStr">
        <is>
          <t>SCA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49013-2023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45204</v>
      </c>
      <c r="E307" s="1" t="n">
        <v>46250</v>
      </c>
      <c r="F307" t="inlineStr">
        <is>
          <t>VÄSTERBOTTENS LÄN</t>
        </is>
      </c>
      <c r="G307" t="inlineStr">
        <is>
          <t>MALÅ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46189</v>
      </c>
      <c r="E308" s="1" t="n">
        <v>46250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23.5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45744-2023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45193</v>
      </c>
      <c r="E309" s="1" t="n">
        <v>46250</v>
      </c>
      <c r="F309" t="inlineStr">
        <is>
          <t>VÄSTERBOTTENS LÄN</t>
        </is>
      </c>
      <c r="G309" t="inlineStr">
        <is>
          <t>MALÅ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45625</v>
      </c>
      <c r="E310" s="1" t="n">
        <v>46250</v>
      </c>
      <c r="F310" t="inlineStr">
        <is>
          <t>VÄSTERBOTTENS LÄN</t>
        </is>
      </c>
      <c r="G310" t="inlineStr">
        <is>
          <t>MALÅ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45148</v>
      </c>
      <c r="E311" s="1" t="n">
        <v>46250</v>
      </c>
      <c r="F311" t="inlineStr">
        <is>
          <t>VÄSTERBOTTENS LÄN</t>
        </is>
      </c>
      <c r="G311" t="inlineStr">
        <is>
          <t>MALÅ</t>
        </is>
      </c>
      <c r="I311" t="n">
        <v>16.2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46280-2023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45195</v>
      </c>
      <c r="E312" s="1" t="n">
        <v>46250</v>
      </c>
      <c r="F312" t="inlineStr">
        <is>
          <t>VÄSTERBOTTENS LÄN</t>
        </is>
      </c>
      <c r="G312" t="inlineStr">
        <is>
          <t>MALÅ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36745-2023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45153</v>
      </c>
      <c r="E313" s="1" t="n">
        <v>46250</v>
      </c>
      <c r="F313" t="inlineStr">
        <is>
          <t>VÄSTERBOTTENS LÄN</t>
        </is>
      </c>
      <c r="G313" t="inlineStr">
        <is>
          <t>MALÅ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48348-2023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45201</v>
      </c>
      <c r="E314" s="1" t="n">
        <v>46250</v>
      </c>
      <c r="F314" t="inlineStr">
        <is>
          <t>VÄSTERBOTTENS LÄN</t>
        </is>
      </c>
      <c r="G314" t="inlineStr">
        <is>
          <t>MALÅ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45700</v>
      </c>
      <c r="E315" s="1" t="n">
        <v>46250</v>
      </c>
      <c r="F315" t="inlineStr">
        <is>
          <t>VÄSTERBOTTENS LÄN</t>
        </is>
      </c>
      <c r="G315" t="inlineStr">
        <is>
          <t>MALÅ</t>
        </is>
      </c>
      <c r="H315" t="inlineStr">
        <is>
          <t>SCA</t>
        </is>
      </c>
      <c r="I315" t="n">
        <v>10.2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32767-2024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45516</v>
      </c>
      <c r="E316" s="1" t="n">
        <v>46250</v>
      </c>
      <c r="F316" t="inlineStr">
        <is>
          <t>VÄSTERBOTTENS LÄN</t>
        </is>
      </c>
      <c r="G316" t="inlineStr">
        <is>
          <t>MALÅ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45189</v>
      </c>
      <c r="E317" s="1" t="n">
        <v>46250</v>
      </c>
      <c r="F317" t="inlineStr">
        <is>
          <t>VÄSTERBOTTENS LÄN</t>
        </is>
      </c>
      <c r="G317" t="inlineStr">
        <is>
          <t>MALÅ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54463-2023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45232</v>
      </c>
      <c r="E318" s="1" t="n">
        <v>46250</v>
      </c>
      <c r="F318" t="inlineStr">
        <is>
          <t>VÄSTERBOTTENS LÄN</t>
        </is>
      </c>
      <c r="G318" t="inlineStr">
        <is>
          <t>MALÅ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46196</v>
      </c>
      <c r="E319" s="1" t="n">
        <v>46250</v>
      </c>
      <c r="F319" t="inlineStr">
        <is>
          <t>VÄSTERBOTTENS LÄN</t>
        </is>
      </c>
      <c r="G319" t="inlineStr">
        <is>
          <t>MALÅ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29025-2026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46250</v>
      </c>
      <c r="F320" t="inlineStr">
        <is>
          <t>VÄSTERBOTTENS LÄN</t>
        </is>
      </c>
      <c r="G320" t="inlineStr">
        <is>
          <t>MALÅ</t>
        </is>
      </c>
      <c r="I320" t="n">
        <v>9.1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45223</v>
      </c>
      <c r="E321" s="1" t="n">
        <v>46250</v>
      </c>
      <c r="F321" t="inlineStr">
        <is>
          <t>VÄSTERBOTTENS LÄN</t>
        </is>
      </c>
      <c r="G321" t="inlineStr">
        <is>
          <t>MALÅ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35728-2025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45860</v>
      </c>
      <c r="E322" s="1" t="n">
        <v>46250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14.8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45860</v>
      </c>
      <c r="E323" s="1" t="n">
        <v>46250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14.7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45861</v>
      </c>
      <c r="E324" s="1" t="n">
        <v>46250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35844-2025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45861</v>
      </c>
      <c r="E325" s="1" t="n">
        <v>46250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8.4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45861</v>
      </c>
      <c r="E326" s="1" t="n">
        <v>46250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45861</v>
      </c>
      <c r="E327" s="1" t="n">
        <v>46250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11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36286-2025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45867</v>
      </c>
      <c r="E328" s="1" t="n">
        <v>46250</v>
      </c>
      <c r="F328" t="inlineStr">
        <is>
          <t>VÄSTERBOTTENS LÄN</t>
        </is>
      </c>
      <c r="G328" t="inlineStr">
        <is>
          <t>MALÅ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28803-2026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46198</v>
      </c>
      <c r="E329" s="1" t="n">
        <v>46250</v>
      </c>
      <c r="F329" t="inlineStr">
        <is>
          <t>VÄSTERBOTTENS LÄN</t>
        </is>
      </c>
      <c r="G329" t="inlineStr">
        <is>
          <t>MALÅ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37119-2025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45875</v>
      </c>
      <c r="E330" s="1" t="n">
        <v>46250</v>
      </c>
      <c r="F330" t="inlineStr">
        <is>
          <t>VÄSTERBOTTENS LÄN</t>
        </is>
      </c>
      <c r="G330" t="inlineStr">
        <is>
          <t>MALÅ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26853-2026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46185</v>
      </c>
      <c r="E331" s="1" t="n">
        <v>46250</v>
      </c>
      <c r="F331" t="inlineStr">
        <is>
          <t>VÄSTERBOTTENS LÄN</t>
        </is>
      </c>
      <c r="G331" t="inlineStr">
        <is>
          <t>MALÅ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11299-2025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45726</v>
      </c>
      <c r="E332" s="1" t="n">
        <v>46250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37.2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33543-2026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46248</v>
      </c>
      <c r="E333" s="1" t="n">
        <v>46250</v>
      </c>
      <c r="F333" t="inlineStr">
        <is>
          <t>VÄSTERBOTTENS LÄN</t>
        </is>
      </c>
      <c r="G333" t="inlineStr">
        <is>
          <t>MALÅ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33230-2026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46246</v>
      </c>
      <c r="E334" s="1" t="n">
        <v>46250</v>
      </c>
      <c r="F334" t="inlineStr">
        <is>
          <t>VÄSTERBOTTENS LÄN</t>
        </is>
      </c>
      <c r="G334" t="inlineStr">
        <is>
          <t>MALÅ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33240-2026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46246</v>
      </c>
      <c r="E335" s="1" t="n">
        <v>46250</v>
      </c>
      <c r="F335" t="inlineStr">
        <is>
          <t>VÄSTERBOTTENS LÄN</t>
        </is>
      </c>
      <c r="G335" t="inlineStr">
        <is>
          <t>MALÅ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894-2022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44607</v>
      </c>
      <c r="E336" s="1" t="n">
        <v>46250</v>
      </c>
      <c r="F336" t="inlineStr">
        <is>
          <t>VÄSTERBOTTENS LÄN</t>
        </is>
      </c>
      <c r="G336" t="inlineStr">
        <is>
          <t>MALÅ</t>
        </is>
      </c>
      <c r="H336" t="inlineStr">
        <is>
          <t>SCA</t>
        </is>
      </c>
      <c r="I336" t="n">
        <v>86.3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2026-08-16T01:46:16Z</dcterms:created>
  <dcterms:modified xmlns:dcterms="http://purl.org/dc/terms/" xmlns:xsi="http://www.w3.org/2001/XMLSchema-instance" xsi:type="dcterms:W3CDTF">2026-08-16T01:46:16Z</dcterms:modified>
</cp:coreProperties>
</file>