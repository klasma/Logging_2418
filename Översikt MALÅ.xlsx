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46297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46297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46297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46297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5658-2026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46051</v>
      </c>
      <c r="E7" s="1" t="n">
        <v>46297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8.6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Grantaggsvamp</t>
        </is>
      </c>
      <c r="W7">
        <f>HYPERLINK("https://klasma.github.io/Logging_2418/artfynd/A 5658-2026 artfynd.xlsx", "A 5658-2026")</f>
        <v/>
      </c>
      <c r="X7">
        <f>HYPERLINK("https://klasma.github.io/Logging_2418/kartor/A 5658-2026 karta.png", "A 5658-2026")</f>
        <v/>
      </c>
      <c r="Y7">
        <f>HYPERLINK("https://klasma.github.io/Logging_2418/kartor_geotiff/A 5658-2026 georefererad karta.tif", "A 5658-2026")</f>
        <v/>
      </c>
      <c r="AA7">
        <f>HYPERLINK("https://klasma.github.io/Logging_2418/klagomål/A 5658-2026 FSC-klagomål.docx", "A 5658-2026")</f>
        <v/>
      </c>
      <c r="AB7">
        <f>HYPERLINK("https://klasma.github.io/Logging_2418/klagomålsmail/A 5658-2026 FSC-klagomål mail.docx", "A 5658-2026")</f>
        <v/>
      </c>
      <c r="AC7">
        <f>HYPERLINK("https://klasma.github.io/Logging_2418/tillsyn/A 5658-2026 tillsynsbegäran.docx", "A 5658-2026")</f>
        <v/>
      </c>
      <c r="AD7">
        <f>HYPERLINK("https://klasma.github.io/Logging_2418/tillsynsmail/A 5658-2026 tillsynsbegäran mail.docx", "A 5658-2026")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46297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46297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35181-2026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46260</v>
      </c>
      <c r="E10" s="1" t="n">
        <v>46297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7.9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Kolflarnlav</t>
        </is>
      </c>
      <c r="W10">
        <f>HYPERLINK("https://klasma.github.io/Logging_2418/artfynd/A 35181-2026 artfynd.xlsx", "A 35181-2026")</f>
        <v/>
      </c>
      <c r="X10">
        <f>HYPERLINK("https://klasma.github.io/Logging_2418/kartor/A 35181-2026 karta.png", "A 35181-2026")</f>
        <v/>
      </c>
      <c r="Y10">
        <f>HYPERLINK("https://klasma.github.io/Logging_2418/kartor_geotiff/A 35181-2026 georefererad karta.tif", "A 35181-2026")</f>
        <v/>
      </c>
      <c r="AA10">
        <f>HYPERLINK("https://klasma.github.io/Logging_2418/klagomål/A 35181-2026 FSC-klagomål.docx", "A 35181-2026")</f>
        <v/>
      </c>
      <c r="AB10">
        <f>HYPERLINK("https://klasma.github.io/Logging_2418/klagomålsmail/A 35181-2026 FSC-klagomål mail.docx", "A 35181-2026")</f>
        <v/>
      </c>
      <c r="AC10">
        <f>HYPERLINK("https://klasma.github.io/Logging_2418/tillsyn/A 35181-2026 tillsynsbegäran.docx", "A 35181-2026")</f>
        <v/>
      </c>
      <c r="AD10">
        <f>HYPERLINK("https://klasma.github.io/Logging_2418/tillsynsmail/A 35181-2026 tillsynsbegäran mail.docx", "A 35181-2026")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46297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46297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46297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46297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46297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46297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46297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46297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46297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46297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46297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46297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46297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46297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46297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46297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46297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46297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46297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44889</v>
      </c>
      <c r="E30" s="1" t="n">
        <v>46297</v>
      </c>
      <c r="F30" t="inlineStr">
        <is>
          <t>VÄSTERBOTTENS LÄN</t>
        </is>
      </c>
      <c r="G30" t="inlineStr">
        <is>
          <t>MALÅ</t>
        </is>
      </c>
      <c r="I30" t="n">
        <v>10.2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46297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59801-2021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44491</v>
      </c>
      <c r="E32" s="1" t="n">
        <v>46297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67383-2021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46297</v>
      </c>
      <c r="F33" t="inlineStr">
        <is>
          <t>VÄSTERBOTTENS LÄN</t>
        </is>
      </c>
      <c r="G33" t="inlineStr">
        <is>
          <t>MALÅ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32979-2024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45516</v>
      </c>
      <c r="E34" s="1" t="n">
        <v>46297</v>
      </c>
      <c r="F34" t="inlineStr">
        <is>
          <t>VÄSTERBOTTENS LÄN</t>
        </is>
      </c>
      <c r="G34" t="inlineStr">
        <is>
          <t>MALÅ</t>
        </is>
      </c>
      <c r="I34" t="n">
        <v>15.5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2116-2023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44939</v>
      </c>
      <c r="E35" s="1" t="n">
        <v>46297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45789-2023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45189</v>
      </c>
      <c r="E36" s="1" t="n">
        <v>46297</v>
      </c>
      <c r="F36" t="inlineStr">
        <is>
          <t>VÄSTERBOTTENS LÄN</t>
        </is>
      </c>
      <c r="G36" t="inlineStr">
        <is>
          <t>MALÅ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45201</v>
      </c>
      <c r="E37" s="1" t="n">
        <v>46297</v>
      </c>
      <c r="F37" t="inlineStr">
        <is>
          <t>VÄSTERBOTTENS LÄN</t>
        </is>
      </c>
      <c r="G37" t="inlineStr">
        <is>
          <t>MALÅ</t>
        </is>
      </c>
      <c r="I37" t="n">
        <v>22.9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51387-2023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45219</v>
      </c>
      <c r="E38" s="1" t="n">
        <v>46297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46297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46027</v>
      </c>
      <c r="E40" s="1" t="n">
        <v>46297</v>
      </c>
      <c r="F40" t="inlineStr">
        <is>
          <t>VÄSTERBOTTENS LÄN</t>
        </is>
      </c>
      <c r="G40" t="inlineStr">
        <is>
          <t>MALÅ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46297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46297</v>
      </c>
      <c r="F42" t="inlineStr">
        <is>
          <t>VÄSTERBOTTENS LÄN</t>
        </is>
      </c>
      <c r="G42" t="inlineStr">
        <is>
          <t>MALÅ</t>
        </is>
      </c>
      <c r="I42" t="n">
        <v>10.8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46297</v>
      </c>
      <c r="F43" t="inlineStr">
        <is>
          <t>VÄSTERBOTTENS LÄN</t>
        </is>
      </c>
      <c r="G43" t="inlineStr">
        <is>
          <t>MALÅ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46297</v>
      </c>
      <c r="F44" t="inlineStr">
        <is>
          <t>VÄSTERBOTTENS LÄN</t>
        </is>
      </c>
      <c r="G44" t="inlineStr">
        <is>
          <t>MALÅ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46297</v>
      </c>
      <c r="F45" t="inlineStr">
        <is>
          <t>VÄSTERBOTTENS LÄN</t>
        </is>
      </c>
      <c r="G45" t="inlineStr">
        <is>
          <t>MALÅ</t>
        </is>
      </c>
      <c r="I45" t="n">
        <v>16.6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33690-2024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46297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46035</v>
      </c>
      <c r="E47" s="1" t="n">
        <v>46297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46042</v>
      </c>
      <c r="E48" s="1" t="n">
        <v>46297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39622-2025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46297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45238</v>
      </c>
      <c r="E50" s="1" t="n">
        <v>46297</v>
      </c>
      <c r="F50" t="inlineStr">
        <is>
          <t>VÄSTERBOTTENS LÄN</t>
        </is>
      </c>
      <c r="G50" t="inlineStr">
        <is>
          <t>MALÅ</t>
        </is>
      </c>
      <c r="H50" t="inlineStr">
        <is>
          <t>SCA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46297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46297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41360-2023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46297</v>
      </c>
      <c r="F53" t="inlineStr">
        <is>
          <t>VÄSTERBOTTENS LÄN</t>
        </is>
      </c>
      <c r="G53" t="inlineStr">
        <is>
          <t>MALÅ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46297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31088-2024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45502</v>
      </c>
      <c r="E55" s="1" t="n">
        <v>46297</v>
      </c>
      <c r="F55" t="inlineStr">
        <is>
          <t>VÄSTERBOTTENS LÄN</t>
        </is>
      </c>
      <c r="G55" t="inlineStr">
        <is>
          <t>MALÅ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45504</v>
      </c>
      <c r="E56" s="1" t="n">
        <v>46297</v>
      </c>
      <c r="F56" t="inlineStr">
        <is>
          <t>VÄSTERBOTTENS LÄN</t>
        </is>
      </c>
      <c r="G56" t="inlineStr">
        <is>
          <t>MALÅ</t>
        </is>
      </c>
      <c r="I56" t="n">
        <v>9.800000000000001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41198-2025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46297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22.4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41212-2025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46297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41191-2025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46297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40943-2025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45897</v>
      </c>
      <c r="E60" s="1" t="n">
        <v>46297</v>
      </c>
      <c r="F60" t="inlineStr">
        <is>
          <t>VÄSTERBOTTENS LÄN</t>
        </is>
      </c>
      <c r="G60" t="inlineStr">
        <is>
          <t>MALÅ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41559-2025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46297</v>
      </c>
      <c r="F61" t="inlineStr">
        <is>
          <t>VÄSTERBOTTENS LÄN</t>
        </is>
      </c>
      <c r="G61" t="inlineStr">
        <is>
          <t>MALÅ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24681-2025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46297</v>
      </c>
      <c r="F62" t="inlineStr">
        <is>
          <t>VÄSTERBOTTENS LÄN</t>
        </is>
      </c>
      <c r="G62" t="inlineStr">
        <is>
          <t>MALÅ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58240-2022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46297</v>
      </c>
      <c r="F63" t="inlineStr">
        <is>
          <t>VÄSTERBOTTENS LÄN</t>
        </is>
      </c>
      <c r="G63" t="inlineStr">
        <is>
          <t>MALÅ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46297</v>
      </c>
      <c r="F64" t="inlineStr">
        <is>
          <t>VÄSTERBOTTENS LÄN</t>
        </is>
      </c>
      <c r="G64" t="inlineStr">
        <is>
          <t>MALÅ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29375-2023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46297</v>
      </c>
      <c r="F65" t="inlineStr">
        <is>
          <t>VÄSTERBOTTENS LÄN</t>
        </is>
      </c>
      <c r="G65" t="inlineStr">
        <is>
          <t>MALÅ</t>
        </is>
      </c>
      <c r="I65" t="n">
        <v>10.5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44928</v>
      </c>
      <c r="E66" s="1" t="n">
        <v>46297</v>
      </c>
      <c r="F66" t="inlineStr">
        <is>
          <t>VÄSTERBOTTENS LÄN</t>
        </is>
      </c>
      <c r="G66" t="inlineStr">
        <is>
          <t>MALÅ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8648-2026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46066</v>
      </c>
      <c r="E67" s="1" t="n">
        <v>46297</v>
      </c>
      <c r="F67" t="inlineStr">
        <is>
          <t>VÄSTERBOTTENS LÄN</t>
        </is>
      </c>
      <c r="G67" t="inlineStr">
        <is>
          <t>MALÅ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8757-2026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46066</v>
      </c>
      <c r="E68" s="1" t="n">
        <v>46297</v>
      </c>
      <c r="F68" t="inlineStr">
        <is>
          <t>VÄSTERBOTTENS LÄN</t>
        </is>
      </c>
      <c r="G68" t="inlineStr">
        <is>
          <t>MALÅ</t>
        </is>
      </c>
      <c r="H68" t="inlineStr">
        <is>
          <t>SCA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46297</v>
      </c>
      <c r="F69" t="inlineStr">
        <is>
          <t>VÄSTERBOTTENS LÄN</t>
        </is>
      </c>
      <c r="G69" t="inlineStr">
        <is>
          <t>MALÅ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46297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63.6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9311-2026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46297</v>
      </c>
      <c r="F71" t="inlineStr">
        <is>
          <t>VÄSTERBOTTENS LÄN</t>
        </is>
      </c>
      <c r="G71" t="inlineStr">
        <is>
          <t>MALÅ</t>
        </is>
      </c>
      <c r="I71" t="n">
        <v>6.3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46297</v>
      </c>
      <c r="F72" t="inlineStr">
        <is>
          <t>VÄSTERBOTTENS LÄN</t>
        </is>
      </c>
      <c r="G72" t="inlineStr">
        <is>
          <t>MALÅ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40370-2023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46297</v>
      </c>
      <c r="F73" t="inlineStr">
        <is>
          <t>VÄSTERBOTTENS LÄN</t>
        </is>
      </c>
      <c r="G73" t="inlineStr">
        <is>
          <t>MALÅ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26892-2022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44740</v>
      </c>
      <c r="E74" s="1" t="n">
        <v>46297</v>
      </c>
      <c r="F74" t="inlineStr">
        <is>
          <t>VÄSTERBOTTENS LÄN</t>
        </is>
      </c>
      <c r="G74" t="inlineStr">
        <is>
          <t>MALÅ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46297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46297</v>
      </c>
      <c r="F76" t="inlineStr">
        <is>
          <t>VÄSTERBOTTENS LÄN</t>
        </is>
      </c>
      <c r="G76" t="inlineStr">
        <is>
          <t>MALÅ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32772-2024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45516</v>
      </c>
      <c r="E77" s="1" t="n">
        <v>46297</v>
      </c>
      <c r="F77" t="inlineStr">
        <is>
          <t>VÄSTERBOTTENS LÄN</t>
        </is>
      </c>
      <c r="G77" t="inlineStr">
        <is>
          <t>MALÅ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34413-2023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45139</v>
      </c>
      <c r="E78" s="1" t="n">
        <v>46297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20234-2023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45054</v>
      </c>
      <c r="E79" s="1" t="n">
        <v>46297</v>
      </c>
      <c r="F79" t="inlineStr">
        <is>
          <t>VÄSTERBOTTENS LÄN</t>
        </is>
      </c>
      <c r="G79" t="inlineStr">
        <is>
          <t>MALÅ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46297</v>
      </c>
      <c r="F80" t="inlineStr">
        <is>
          <t>VÄSTERBOTTENS LÄN</t>
        </is>
      </c>
      <c r="G80" t="inlineStr">
        <is>
          <t>MALÅ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46297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46297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46297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46297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46297</v>
      </c>
      <c r="F85" t="inlineStr">
        <is>
          <t>VÄSTERBOTTENS LÄN</t>
        </is>
      </c>
      <c r="G85" t="inlineStr">
        <is>
          <t>MALÅ</t>
        </is>
      </c>
      <c r="H85" t="inlineStr">
        <is>
          <t>SCA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46297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46297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37172-2023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45154</v>
      </c>
      <c r="E88" s="1" t="n">
        <v>46297</v>
      </c>
      <c r="F88" t="inlineStr">
        <is>
          <t>VÄSTERBOTTENS LÄN</t>
        </is>
      </c>
      <c r="G88" t="inlineStr">
        <is>
          <t>MALÅ</t>
        </is>
      </c>
      <c r="I88" t="n">
        <v>73.7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53657-2023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45230</v>
      </c>
      <c r="E89" s="1" t="n">
        <v>46297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46297</v>
      </c>
      <c r="F90" t="inlineStr">
        <is>
          <t>VÄSTERBOTTENS LÄN</t>
        </is>
      </c>
      <c r="G90" t="inlineStr">
        <is>
          <t>MALÅ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46297</v>
      </c>
      <c r="F91" t="inlineStr">
        <is>
          <t>VÄSTERBOTTENS LÄN</t>
        </is>
      </c>
      <c r="G91" t="inlineStr">
        <is>
          <t>MALÅ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46297</v>
      </c>
      <c r="F92" t="inlineStr">
        <is>
          <t>VÄSTERBOTTENS LÄN</t>
        </is>
      </c>
      <c r="G92" t="inlineStr">
        <is>
          <t>MALÅ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44893</v>
      </c>
      <c r="E93" s="1" t="n">
        <v>46297</v>
      </c>
      <c r="F93" t="inlineStr">
        <is>
          <t>VÄSTERBOTTENS LÄN</t>
        </is>
      </c>
      <c r="G93" t="inlineStr">
        <is>
          <t>MALÅ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46297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46297</v>
      </c>
      <c r="F95" t="inlineStr">
        <is>
          <t>VÄSTERBOTTENS LÄN</t>
        </is>
      </c>
      <c r="G95" t="inlineStr">
        <is>
          <t>MALÅ</t>
        </is>
      </c>
      <c r="I95" t="n">
        <v>18.6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51936-2025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46297</v>
      </c>
      <c r="F96" t="inlineStr">
        <is>
          <t>VÄSTERBOTTENS LÄN</t>
        </is>
      </c>
      <c r="G96" t="inlineStr">
        <is>
          <t>MALÅ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41353-2023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46297</v>
      </c>
      <c r="F97" t="inlineStr">
        <is>
          <t>VÄSTERBOTTENS LÄN</t>
        </is>
      </c>
      <c r="G97" t="inlineStr">
        <is>
          <t>MALÅ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  <c r="Z97">
        <f>HYPERLINK("https://klasma.github.io/Logging_2418/knärot/A 41353-2023 karta knärot.png", "A 41353-2023")</f>
        <v/>
      </c>
      <c r="AA97">
        <f>HYPERLINK("https://klasma.github.io/Logging_2418/klagomål/A 41353-2023 FSC-klagomål.docx", "A 41353-2023")</f>
        <v/>
      </c>
      <c r="AB97">
        <f>HYPERLINK("https://klasma.github.io/Logging_2418/klagomålsmail/A 41353-2023 FSC-klagomål mail.docx", "A 41353-2023")</f>
        <v/>
      </c>
      <c r="AC97">
        <f>HYPERLINK("https://klasma.github.io/Logging_2418/tillsyn/A 41353-2023 tillsynsbegäran.docx", "A 41353-2023")</f>
        <v/>
      </c>
      <c r="AD97">
        <f>HYPERLINK("https://klasma.github.io/Logging_2418/tillsynsmail/A 41353-2023 tillsynsbegäran mail.docx", "A 41353-2023")</f>
        <v/>
      </c>
    </row>
    <row r="98" ht="15" customHeight="1">
      <c r="A98" t="inlineStr">
        <is>
          <t>A 51968-2025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46297</v>
      </c>
      <c r="F98" t="inlineStr">
        <is>
          <t>VÄSTERBOTTENS LÄN</t>
        </is>
      </c>
      <c r="G98" t="inlineStr">
        <is>
          <t>MALÅ</t>
        </is>
      </c>
      <c r="H98" t="inlineStr">
        <is>
          <t>SCA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46297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51952-2025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46297</v>
      </c>
      <c r="F100" t="inlineStr">
        <is>
          <t>VÄSTERBOTTENS LÄN</t>
        </is>
      </c>
      <c r="G100" t="inlineStr">
        <is>
          <t>MALÅ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46297</v>
      </c>
      <c r="F101" t="inlineStr">
        <is>
          <t>VÄSTERBOTTENS LÄN</t>
        </is>
      </c>
      <c r="G101" t="inlineStr">
        <is>
          <t>MALÅ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45719</v>
      </c>
      <c r="E102" s="1" t="n">
        <v>46297</v>
      </c>
      <c r="F102" t="inlineStr">
        <is>
          <t>VÄSTERBOTTENS LÄN</t>
        </is>
      </c>
      <c r="G102" t="inlineStr">
        <is>
          <t>MALÅ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15306-2026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46297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46297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9.1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46297</v>
      </c>
      <c r="F105" t="inlineStr">
        <is>
          <t>VÄSTERBOTTENS LÄN</t>
        </is>
      </c>
      <c r="G105" t="inlineStr">
        <is>
          <t>MALÅ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45960</v>
      </c>
      <c r="E106" s="1" t="n">
        <v>46297</v>
      </c>
      <c r="F106" t="inlineStr">
        <is>
          <t>VÄSTERBOTTENS LÄN</t>
        </is>
      </c>
      <c r="G106" t="inlineStr">
        <is>
          <t>MALÅ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46297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46297</v>
      </c>
      <c r="F108" t="inlineStr">
        <is>
          <t>VÄSTERBOTTENS LÄN</t>
        </is>
      </c>
      <c r="G108" t="inlineStr">
        <is>
          <t>MALÅ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54742-2025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45966</v>
      </c>
      <c r="E109" s="1" t="n">
        <v>46297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46297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45966</v>
      </c>
      <c r="E111" s="1" t="n">
        <v>46297</v>
      </c>
      <c r="F111" t="inlineStr">
        <is>
          <t>VÄSTERBOTTENS LÄN</t>
        </is>
      </c>
      <c r="G111" t="inlineStr">
        <is>
          <t>MALÅ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45966</v>
      </c>
      <c r="E112" s="1" t="n">
        <v>46297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46297</v>
      </c>
      <c r="F113" t="inlineStr">
        <is>
          <t>VÄSTERBOTTENS LÄN</t>
        </is>
      </c>
      <c r="G113" t="inlineStr">
        <is>
          <t>MALÅ</t>
        </is>
      </c>
      <c r="I113" t="n">
        <v>7.7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17020-2026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46114</v>
      </c>
      <c r="E114" s="1" t="n">
        <v>46297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19.7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54463-2025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45964</v>
      </c>
      <c r="E115" s="1" t="n">
        <v>46297</v>
      </c>
      <c r="F115" t="inlineStr">
        <is>
          <t>VÄSTERBOTTENS LÄN</t>
        </is>
      </c>
      <c r="G115" t="inlineStr">
        <is>
          <t>MALÅ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46297</v>
      </c>
      <c r="F116" t="inlineStr">
        <is>
          <t>VÄSTERBOTTENS LÄN</t>
        </is>
      </c>
      <c r="G116" t="inlineStr">
        <is>
          <t>MALÅ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54455-2025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45964</v>
      </c>
      <c r="E117" s="1" t="n">
        <v>46297</v>
      </c>
      <c r="F117" t="inlineStr">
        <is>
          <t>VÄSTERBOTTENS LÄN</t>
        </is>
      </c>
      <c r="G117" t="inlineStr">
        <is>
          <t>MALÅ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46297</v>
      </c>
      <c r="F118" t="inlineStr">
        <is>
          <t>VÄSTERBOTTENS LÄN</t>
        </is>
      </c>
      <c r="G118" t="inlineStr">
        <is>
          <t>MALÅ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49434-2023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45211</v>
      </c>
      <c r="E119" s="1" t="n">
        <v>46297</v>
      </c>
      <c r="F119" t="inlineStr">
        <is>
          <t>VÄSTERBOTTENS LÄN</t>
        </is>
      </c>
      <c r="G119" t="inlineStr">
        <is>
          <t>MALÅ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46297</v>
      </c>
      <c r="F120" t="inlineStr">
        <is>
          <t>VÄSTERBOTTENS LÄN</t>
        </is>
      </c>
      <c r="G120" t="inlineStr">
        <is>
          <t>MALÅ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34353-2022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46297</v>
      </c>
      <c r="F121" t="inlineStr">
        <is>
          <t>VÄSTERBOTTENS LÄN</t>
        </is>
      </c>
      <c r="G121" t="inlineStr">
        <is>
          <t>MALÅ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46297</v>
      </c>
      <c r="F122" t="inlineStr">
        <is>
          <t>VÄSTERBOTTENS LÄN</t>
        </is>
      </c>
      <c r="G122" t="inlineStr">
        <is>
          <t>MALÅ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46297</v>
      </c>
      <c r="F123" t="inlineStr">
        <is>
          <t>VÄSTERBOTTENS LÄN</t>
        </is>
      </c>
      <c r="G123" t="inlineStr">
        <is>
          <t>MALÅ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45000</v>
      </c>
      <c r="E124" s="1" t="n">
        <v>46297</v>
      </c>
      <c r="F124" t="inlineStr">
        <is>
          <t>VÄSTERBOTTENS LÄN</t>
        </is>
      </c>
      <c r="G124" t="inlineStr">
        <is>
          <t>MALÅ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19290-2026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46297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46133</v>
      </c>
      <c r="E126" s="1" t="n">
        <v>46297</v>
      </c>
      <c r="F126" t="inlineStr">
        <is>
          <t>VÄSTERBOTTENS LÄN</t>
        </is>
      </c>
      <c r="G126" t="inlineStr">
        <is>
          <t>MALÅ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46297</v>
      </c>
      <c r="F127" t="inlineStr">
        <is>
          <t>VÄSTERBOTTENS LÄN</t>
        </is>
      </c>
      <c r="G127" t="inlineStr">
        <is>
          <t>MALÅ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46297</v>
      </c>
      <c r="F128" t="inlineStr">
        <is>
          <t>VÄSTERBOTTENS LÄN</t>
        </is>
      </c>
      <c r="G128" t="inlineStr">
        <is>
          <t>MALÅ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19286-2026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46133</v>
      </c>
      <c r="E129" s="1" t="n">
        <v>46297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55.9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19351-2026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46133</v>
      </c>
      <c r="E130" s="1" t="n">
        <v>46297</v>
      </c>
      <c r="F130" t="inlineStr">
        <is>
          <t>VÄSTERBOTTENS LÄN</t>
        </is>
      </c>
      <c r="G130" t="inlineStr">
        <is>
          <t>MALÅ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46297</v>
      </c>
      <c r="F131" t="inlineStr">
        <is>
          <t>VÄSTERBOTTENS LÄN</t>
        </is>
      </c>
      <c r="G131" t="inlineStr">
        <is>
          <t>MALÅ</t>
        </is>
      </c>
      <c r="I131" t="n">
        <v>20.7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36743-2023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45153</v>
      </c>
      <c r="E132" s="1" t="n">
        <v>46297</v>
      </c>
      <c r="F132" t="inlineStr">
        <is>
          <t>VÄSTERBOTTENS LÄN</t>
        </is>
      </c>
      <c r="G132" t="inlineStr">
        <is>
          <t>MALÅ</t>
        </is>
      </c>
      <c r="I132" t="n">
        <v>15.7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45153</v>
      </c>
      <c r="E133" s="1" t="n">
        <v>46297</v>
      </c>
      <c r="F133" t="inlineStr">
        <is>
          <t>VÄSTERBOTTENS LÄN</t>
        </is>
      </c>
      <c r="G133" t="inlineStr">
        <is>
          <t>MALÅ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45178</v>
      </c>
      <c r="E134" s="1" t="n">
        <v>46297</v>
      </c>
      <c r="F134" t="inlineStr">
        <is>
          <t>VÄSTERBOTTENS LÄN</t>
        </is>
      </c>
      <c r="G134" t="inlineStr">
        <is>
          <t>MALÅ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45987</v>
      </c>
      <c r="E135" s="1" t="n">
        <v>46297</v>
      </c>
      <c r="F135" t="inlineStr">
        <is>
          <t>VÄSTERBOTTENS LÄN</t>
        </is>
      </c>
      <c r="G135" t="inlineStr">
        <is>
          <t>MALÅ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45989</v>
      </c>
      <c r="E136" s="1" t="n">
        <v>46297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45989</v>
      </c>
      <c r="E137" s="1" t="n">
        <v>46297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45989</v>
      </c>
      <c r="E138" s="1" t="n">
        <v>46297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45989</v>
      </c>
      <c r="E139" s="1" t="n">
        <v>46297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59457-2025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45989</v>
      </c>
      <c r="E140" s="1" t="n">
        <v>46297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46297</v>
      </c>
      <c r="F141" t="inlineStr">
        <is>
          <t>VÄSTERBOTTENS LÄN</t>
        </is>
      </c>
      <c r="G141" t="inlineStr">
        <is>
          <t>MALÅ</t>
        </is>
      </c>
      <c r="H141" t="inlineStr">
        <is>
          <t>SCA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46297</v>
      </c>
      <c r="F142" t="inlineStr">
        <is>
          <t>VÄSTERBOTTENS LÄN</t>
        </is>
      </c>
      <c r="G142" t="inlineStr">
        <is>
          <t>MALÅ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46297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45625</v>
      </c>
      <c r="E144" s="1" t="n">
        <v>46297</v>
      </c>
      <c r="F144" t="inlineStr">
        <is>
          <t>VÄSTERBOTTENS LÄN</t>
        </is>
      </c>
      <c r="G144" t="inlineStr">
        <is>
          <t>MALÅ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45999</v>
      </c>
      <c r="E145" s="1" t="n">
        <v>46297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46297</v>
      </c>
      <c r="F146" t="inlineStr">
        <is>
          <t>VÄSTERBOTTENS LÄN</t>
        </is>
      </c>
      <c r="G146" t="inlineStr">
        <is>
          <t>MALÅ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46297</v>
      </c>
      <c r="F147" t="inlineStr">
        <is>
          <t>VÄSTERBOTTENS LÄN</t>
        </is>
      </c>
      <c r="G147" t="inlineStr">
        <is>
          <t>MALÅ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46297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46297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45149</v>
      </c>
      <c r="E150" s="1" t="n">
        <v>46297</v>
      </c>
      <c r="F150" t="inlineStr">
        <is>
          <t>VÄSTERBOTTENS LÄN</t>
        </is>
      </c>
      <c r="G150" t="inlineStr">
        <is>
          <t>MALÅ</t>
        </is>
      </c>
      <c r="I150" t="n">
        <v>26.9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46297</v>
      </c>
      <c r="F151" t="inlineStr">
        <is>
          <t>VÄSTERBOTTENS LÄN</t>
        </is>
      </c>
      <c r="G151" t="inlineStr">
        <is>
          <t>MALÅ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46297</v>
      </c>
      <c r="F152" t="inlineStr">
        <is>
          <t>VÄSTERBOTTENS LÄN</t>
        </is>
      </c>
      <c r="G152" t="inlineStr">
        <is>
          <t>MALÅ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45714</v>
      </c>
      <c r="E153" s="1" t="n">
        <v>46297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18.7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46297</v>
      </c>
      <c r="F154" t="inlineStr">
        <is>
          <t>VÄSTERBOTTENS LÄN</t>
        </is>
      </c>
      <c r="G154" t="inlineStr">
        <is>
          <t>MALÅ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46297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46297</v>
      </c>
      <c r="F156" t="inlineStr">
        <is>
          <t>VÄSTERBOTTENS LÄN</t>
        </is>
      </c>
      <c r="G156" t="inlineStr">
        <is>
          <t>MALÅ</t>
        </is>
      </c>
      <c r="I156" t="n">
        <v>19.5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61844-2025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46003</v>
      </c>
      <c r="E157" s="1" t="n">
        <v>46297</v>
      </c>
      <c r="F157" t="inlineStr">
        <is>
          <t>VÄSTERBOTTENS LÄN</t>
        </is>
      </c>
      <c r="G157" t="inlineStr">
        <is>
          <t>MALÅ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46297</v>
      </c>
      <c r="F158" t="inlineStr">
        <is>
          <t>VÄSTERBOTTENS LÄN</t>
        </is>
      </c>
      <c r="G158" t="inlineStr">
        <is>
          <t>MALÅ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45022</v>
      </c>
      <c r="E159" s="1" t="n">
        <v>46297</v>
      </c>
      <c r="F159" t="inlineStr">
        <is>
          <t>VÄSTERBOTTENS LÄN</t>
        </is>
      </c>
      <c r="G159" t="inlineStr">
        <is>
          <t>MALÅ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15850-2023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45022</v>
      </c>
      <c r="E160" s="1" t="n">
        <v>46297</v>
      </c>
      <c r="F160" t="inlineStr">
        <is>
          <t>VÄSTERBOTTENS LÄN</t>
        </is>
      </c>
      <c r="G160" t="inlineStr">
        <is>
          <t>MALÅ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46297</v>
      </c>
      <c r="F161" t="inlineStr">
        <is>
          <t>VÄSTERBOTTENS LÄN</t>
        </is>
      </c>
      <c r="G161" t="inlineStr">
        <is>
          <t>MALÅ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51723-2023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45222</v>
      </c>
      <c r="E162" s="1" t="n">
        <v>46297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46297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45193</v>
      </c>
      <c r="E164" s="1" t="n">
        <v>46297</v>
      </c>
      <c r="F164" t="inlineStr">
        <is>
          <t>VÄSTERBOTTENS LÄN</t>
        </is>
      </c>
      <c r="G164" t="inlineStr">
        <is>
          <t>MALÅ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45860</v>
      </c>
      <c r="E165" s="1" t="n">
        <v>46297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45860</v>
      </c>
      <c r="E166" s="1" t="n">
        <v>46297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45102-2023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45190</v>
      </c>
      <c r="E167" s="1" t="n">
        <v>46297</v>
      </c>
      <c r="F167" t="inlineStr">
        <is>
          <t>VÄSTERBOTTENS LÄN</t>
        </is>
      </c>
      <c r="G167" t="inlineStr">
        <is>
          <t>MALÅ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45861</v>
      </c>
      <c r="E168" s="1" t="n">
        <v>46297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35844-2025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45861</v>
      </c>
      <c r="E169" s="1" t="n">
        <v>46297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45861</v>
      </c>
      <c r="E170" s="1" t="n">
        <v>46297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10.9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45861</v>
      </c>
      <c r="E171" s="1" t="n">
        <v>46297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37078-2023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46297</v>
      </c>
      <c r="F172" t="inlineStr">
        <is>
          <t>VÄSTERBOTTENS LÄN</t>
        </is>
      </c>
      <c r="G172" t="inlineStr">
        <is>
          <t>MALÅ</t>
        </is>
      </c>
      <c r="I172" t="n">
        <v>48.2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45867</v>
      </c>
      <c r="E173" s="1" t="n">
        <v>46297</v>
      </c>
      <c r="F173" t="inlineStr">
        <is>
          <t>VÄSTERBOTTENS LÄN</t>
        </is>
      </c>
      <c r="G173" t="inlineStr">
        <is>
          <t>MALÅ</t>
        </is>
      </c>
      <c r="I173" t="n">
        <v>8.300000000000001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46297</v>
      </c>
      <c r="F174" t="inlineStr">
        <is>
          <t>VÄSTERBOTTENS LÄN</t>
        </is>
      </c>
      <c r="G174" t="inlineStr">
        <is>
          <t>MALÅ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45174</v>
      </c>
      <c r="E175" s="1" t="n">
        <v>46297</v>
      </c>
      <c r="F175" t="inlineStr">
        <is>
          <t>VÄSTERBOTTENS LÄN</t>
        </is>
      </c>
      <c r="G175" t="inlineStr">
        <is>
          <t>MALÅ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46297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44802</v>
      </c>
      <c r="E177" s="1" t="n">
        <v>46297</v>
      </c>
      <c r="F177" t="inlineStr">
        <is>
          <t>VÄSTERBOTTENS LÄN</t>
        </is>
      </c>
      <c r="G177" t="inlineStr">
        <is>
          <t>MALÅ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15857-2023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46297</v>
      </c>
      <c r="F178" t="inlineStr">
        <is>
          <t>VÄSTERBOTTENS LÄN</t>
        </is>
      </c>
      <c r="G178" t="inlineStr">
        <is>
          <t>MALÅ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41852-2023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46297</v>
      </c>
      <c r="F179" t="inlineStr">
        <is>
          <t>VÄSTERBOTTENS LÄN</t>
        </is>
      </c>
      <c r="G179" t="inlineStr">
        <is>
          <t>MALÅ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54239-2022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46297</v>
      </c>
      <c r="F180" t="inlineStr">
        <is>
          <t>VÄSTERBOTTENS LÄN</t>
        </is>
      </c>
      <c r="G180" t="inlineStr">
        <is>
          <t>MALÅ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45179</v>
      </c>
      <c r="E181" s="1" t="n">
        <v>46297</v>
      </c>
      <c r="F181" t="inlineStr">
        <is>
          <t>VÄSTERBOTTENS LÄN</t>
        </is>
      </c>
      <c r="G181" t="inlineStr">
        <is>
          <t>MALÅ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46297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39790-2023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46297</v>
      </c>
      <c r="F183" t="inlineStr">
        <is>
          <t>VÄSTERBOTTENS LÄN</t>
        </is>
      </c>
      <c r="G183" t="inlineStr">
        <is>
          <t>MALÅ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22308-2026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46297</v>
      </c>
      <c r="F184" t="inlineStr">
        <is>
          <t>VÄSTERBOTTENS LÄN</t>
        </is>
      </c>
      <c r="G184" t="inlineStr">
        <is>
          <t>MALÅ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45719</v>
      </c>
      <c r="E185" s="1" t="n">
        <v>46297</v>
      </c>
      <c r="F185" t="inlineStr">
        <is>
          <t>VÄSTERBOTTENS LÄN</t>
        </is>
      </c>
      <c r="G185" t="inlineStr">
        <is>
          <t>MALÅ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55671-2023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46297</v>
      </c>
      <c r="F186" t="inlineStr">
        <is>
          <t>VÄSTERBOTTENS LÄN</t>
        </is>
      </c>
      <c r="G186" t="inlineStr">
        <is>
          <t>MALÅ</t>
        </is>
      </c>
      <c r="H186" t="inlineStr">
        <is>
          <t>SCA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46297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45148</v>
      </c>
      <c r="E188" s="1" t="n">
        <v>46297</v>
      </c>
      <c r="F188" t="inlineStr">
        <is>
          <t>VÄSTERBOTTENS LÄN</t>
        </is>
      </c>
      <c r="G188" t="inlineStr">
        <is>
          <t>MALÅ</t>
        </is>
      </c>
      <c r="I188" t="n">
        <v>26.3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46297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46297</v>
      </c>
      <c r="F190" t="inlineStr">
        <is>
          <t>VÄSTERBOTTENS LÄN</t>
        </is>
      </c>
      <c r="G190" t="inlineStr">
        <is>
          <t>MALÅ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46297</v>
      </c>
      <c r="F191" t="inlineStr">
        <is>
          <t>VÄSTERBOTTENS LÄN</t>
        </is>
      </c>
      <c r="G191" t="inlineStr">
        <is>
          <t>MALÅ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45158</v>
      </c>
      <c r="E192" s="1" t="n">
        <v>46297</v>
      </c>
      <c r="F192" t="inlineStr">
        <is>
          <t>VÄSTERBOTTENS LÄN</t>
        </is>
      </c>
      <c r="G192" t="inlineStr">
        <is>
          <t>MALÅ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45156</v>
      </c>
      <c r="E193" s="1" t="n">
        <v>46297</v>
      </c>
      <c r="F193" t="inlineStr">
        <is>
          <t>VÄSTERBOTTENS LÄN</t>
        </is>
      </c>
      <c r="G193" t="inlineStr">
        <is>
          <t>MALÅ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46297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45155</v>
      </c>
      <c r="E195" s="1" t="n">
        <v>46297</v>
      </c>
      <c r="F195" t="inlineStr">
        <is>
          <t>VÄSTERBOTTENS LÄN</t>
        </is>
      </c>
      <c r="G195" t="inlineStr">
        <is>
          <t>MALÅ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36425-2023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45152</v>
      </c>
      <c r="E196" s="1" t="n">
        <v>46297</v>
      </c>
      <c r="F196" t="inlineStr">
        <is>
          <t>VÄSTERBOTTENS LÄN</t>
        </is>
      </c>
      <c r="G196" t="inlineStr">
        <is>
          <t>MALÅ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52795-2024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45610</v>
      </c>
      <c r="E197" s="1" t="n">
        <v>46297</v>
      </c>
      <c r="F197" t="inlineStr">
        <is>
          <t>VÄSTERBOTTENS LÄN</t>
        </is>
      </c>
      <c r="G197" t="inlineStr">
        <is>
          <t>MALÅ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16212-2025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45750</v>
      </c>
      <c r="E198" s="1" t="n">
        <v>46297</v>
      </c>
      <c r="F198" t="inlineStr">
        <is>
          <t>VÄSTERBOTTENS LÄN</t>
        </is>
      </c>
      <c r="G198" t="inlineStr">
        <is>
          <t>MALÅ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46297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46297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30.8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46297</v>
      </c>
      <c r="F201" t="inlineStr">
        <is>
          <t>VÄSTERBOTTENS LÄN</t>
        </is>
      </c>
      <c r="G201" t="inlineStr">
        <is>
          <t>MALÅ</t>
        </is>
      </c>
      <c r="I201" t="n">
        <v>13.3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46297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37159-2023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46297</v>
      </c>
      <c r="F203" t="inlineStr">
        <is>
          <t>VÄSTERBOTTENS LÄN</t>
        </is>
      </c>
      <c r="G203" t="inlineStr">
        <is>
          <t>MALÅ</t>
        </is>
      </c>
      <c r="I203" t="n">
        <v>63.5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46297</v>
      </c>
      <c r="F204" t="inlineStr">
        <is>
          <t>VÄSTERBOTTENS LÄN</t>
        </is>
      </c>
      <c r="G204" t="inlineStr">
        <is>
          <t>MALÅ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46297</v>
      </c>
      <c r="F205" t="inlineStr">
        <is>
          <t>VÄSTERBOTTENS LÄN</t>
        </is>
      </c>
      <c r="G205" t="inlineStr">
        <is>
          <t>MALÅ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48327-2023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46297</v>
      </c>
      <c r="F206" t="inlineStr">
        <is>
          <t>VÄSTERBOTTENS LÄN</t>
        </is>
      </c>
      <c r="G206" t="inlineStr">
        <is>
          <t>MALÅ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46297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45642</v>
      </c>
      <c r="E208" s="1" t="n">
        <v>46297</v>
      </c>
      <c r="F208" t="inlineStr">
        <is>
          <t>VÄSTERBOTTENS LÄN</t>
        </is>
      </c>
      <c r="G208" t="inlineStr">
        <is>
          <t>MALÅ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38404-2023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46297</v>
      </c>
      <c r="F209" t="inlineStr">
        <is>
          <t>VÄSTERBOTTENS LÄN</t>
        </is>
      </c>
      <c r="G209" t="inlineStr">
        <is>
          <t>MALÅ</t>
        </is>
      </c>
      <c r="I209" t="n">
        <v>17.5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46297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11.5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46297</v>
      </c>
      <c r="F211" t="inlineStr">
        <is>
          <t>VÄSTERBOTTENS LÄN</t>
        </is>
      </c>
      <c r="G211" t="inlineStr">
        <is>
          <t>MALÅ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45152</v>
      </c>
      <c r="E212" s="1" t="n">
        <v>46297</v>
      </c>
      <c r="F212" t="inlineStr">
        <is>
          <t>VÄSTERBOTTENS LÄN</t>
        </is>
      </c>
      <c r="G212" t="inlineStr">
        <is>
          <t>MALÅ</t>
        </is>
      </c>
      <c r="I212" t="n">
        <v>13.3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46185</v>
      </c>
      <c r="E213" s="1" t="n">
        <v>46297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11.5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46297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46297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25.9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46297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14.7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50517-2024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45601</v>
      </c>
      <c r="E217" s="1" t="n">
        <v>46297</v>
      </c>
      <c r="F217" t="inlineStr">
        <is>
          <t>VÄSTERBOTTENS LÄN</t>
        </is>
      </c>
      <c r="G217" t="inlineStr">
        <is>
          <t>MALÅ</t>
        </is>
      </c>
      <c r="H217" t="inlineStr">
        <is>
          <t>SCA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46297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9.9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46297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46297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46189</v>
      </c>
      <c r="E221" s="1" t="n">
        <v>46297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46297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46297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46297</v>
      </c>
      <c r="F224" t="inlineStr">
        <is>
          <t>VÄSTERBOTTENS LÄN</t>
        </is>
      </c>
      <c r="G224" t="inlineStr">
        <is>
          <t>MALÅ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46297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23.5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45153</v>
      </c>
      <c r="E226" s="1" t="n">
        <v>46297</v>
      </c>
      <c r="F226" t="inlineStr">
        <is>
          <t>VÄSTERBOTTENS LÄN</t>
        </is>
      </c>
      <c r="G226" t="inlineStr">
        <is>
          <t>MALÅ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36747-2023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45153</v>
      </c>
      <c r="E227" s="1" t="n">
        <v>46297</v>
      </c>
      <c r="F227" t="inlineStr">
        <is>
          <t>VÄSTERBOTTENS LÄN</t>
        </is>
      </c>
      <c r="G227" t="inlineStr">
        <is>
          <t>MALÅ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46297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46393-2023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45193</v>
      </c>
      <c r="E229" s="1" t="n">
        <v>46297</v>
      </c>
      <c r="F229" t="inlineStr">
        <is>
          <t>VÄSTERBOTTENS LÄN</t>
        </is>
      </c>
      <c r="G229" t="inlineStr">
        <is>
          <t>MALÅ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42383-2023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46297</v>
      </c>
      <c r="F230" t="inlineStr">
        <is>
          <t>VÄSTERBOTTENS LÄN</t>
        </is>
      </c>
      <c r="G230" t="inlineStr">
        <is>
          <t>MALÅ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46297</v>
      </c>
      <c r="F231" t="inlineStr">
        <is>
          <t>VÄSTERBOTTENS LÄN</t>
        </is>
      </c>
      <c r="G231" t="inlineStr">
        <is>
          <t>MALÅ</t>
        </is>
      </c>
      <c r="I231" t="n">
        <v>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29025-2026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46196</v>
      </c>
      <c r="E232" s="1" t="n">
        <v>46297</v>
      </c>
      <c r="F232" t="inlineStr">
        <is>
          <t>VÄSTERBOTTENS LÄN</t>
        </is>
      </c>
      <c r="G232" t="inlineStr">
        <is>
          <t>MALÅ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46297</v>
      </c>
      <c r="F233" t="inlineStr">
        <is>
          <t>VÄSTERBOTTENS LÄN</t>
        </is>
      </c>
      <c r="G233" t="inlineStr">
        <is>
          <t>MALÅ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42988-2023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46297</v>
      </c>
      <c r="F234" t="inlineStr">
        <is>
          <t>VÄSTERBOTTENS LÄN</t>
        </is>
      </c>
      <c r="G234" t="inlineStr">
        <is>
          <t>MALÅ</t>
        </is>
      </c>
      <c r="I234" t="n">
        <v>10.5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45646</v>
      </c>
      <c r="E235" s="1" t="n">
        <v>46297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49013-2023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45204</v>
      </c>
      <c r="E236" s="1" t="n">
        <v>46297</v>
      </c>
      <c r="F236" t="inlineStr">
        <is>
          <t>VÄSTERBOTTENS LÄN</t>
        </is>
      </c>
      <c r="G236" t="inlineStr">
        <is>
          <t>MALÅ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45744-2023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45193</v>
      </c>
      <c r="E237" s="1" t="n">
        <v>46297</v>
      </c>
      <c r="F237" t="inlineStr">
        <is>
          <t>VÄSTERBOTTENS LÄN</t>
        </is>
      </c>
      <c r="G237" t="inlineStr">
        <is>
          <t>MALÅ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45625</v>
      </c>
      <c r="E238" s="1" t="n">
        <v>46297</v>
      </c>
      <c r="F238" t="inlineStr">
        <is>
          <t>VÄSTERBOTTENS LÄN</t>
        </is>
      </c>
      <c r="G238" t="inlineStr">
        <is>
          <t>MALÅ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36054-2023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45148</v>
      </c>
      <c r="E239" s="1" t="n">
        <v>46297</v>
      </c>
      <c r="F239" t="inlineStr">
        <is>
          <t>VÄSTERBOTTENS LÄN</t>
        </is>
      </c>
      <c r="G239" t="inlineStr">
        <is>
          <t>MALÅ</t>
        </is>
      </c>
      <c r="I239" t="n">
        <v>16.2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46198</v>
      </c>
      <c r="E240" s="1" t="n">
        <v>46297</v>
      </c>
      <c r="F240" t="inlineStr">
        <is>
          <t>VÄSTERBOTTENS LÄN</t>
        </is>
      </c>
      <c r="G240" t="inlineStr">
        <is>
          <t>MALÅ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46297</v>
      </c>
      <c r="F241" t="inlineStr">
        <is>
          <t>VÄSTERBOTTENS LÄN</t>
        </is>
      </c>
      <c r="G241" t="inlineStr">
        <is>
          <t>MALÅ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45153</v>
      </c>
      <c r="E242" s="1" t="n">
        <v>46297</v>
      </c>
      <c r="F242" t="inlineStr">
        <is>
          <t>VÄSTERBOTTENS LÄN</t>
        </is>
      </c>
      <c r="G242" t="inlineStr">
        <is>
          <t>MALÅ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48348-2023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45201</v>
      </c>
      <c r="E243" s="1" t="n">
        <v>46297</v>
      </c>
      <c r="F243" t="inlineStr">
        <is>
          <t>VÄSTERBOTTENS LÄN</t>
        </is>
      </c>
      <c r="G243" t="inlineStr">
        <is>
          <t>MALÅ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46297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10.2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46297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37.2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32767-2024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45516</v>
      </c>
      <c r="E246" s="1" t="n">
        <v>46297</v>
      </c>
      <c r="F246" t="inlineStr">
        <is>
          <t>VÄSTERBOTTENS LÄN</t>
        </is>
      </c>
      <c r="G246" t="inlineStr">
        <is>
          <t>MALÅ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45812-2023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45189</v>
      </c>
      <c r="E247" s="1" t="n">
        <v>46297</v>
      </c>
      <c r="F247" t="inlineStr">
        <is>
          <t>VÄSTERBOTTENS LÄN</t>
        </is>
      </c>
      <c r="G247" t="inlineStr">
        <is>
          <t>MALÅ</t>
        </is>
      </c>
      <c r="I247" t="n">
        <v>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54463-2023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45232</v>
      </c>
      <c r="E248" s="1" t="n">
        <v>46297</v>
      </c>
      <c r="F248" t="inlineStr">
        <is>
          <t>VÄSTERBOTTENS LÄN</t>
        </is>
      </c>
      <c r="G248" t="inlineStr">
        <is>
          <t>MALÅ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45223</v>
      </c>
      <c r="E249" s="1" t="n">
        <v>46297</v>
      </c>
      <c r="F249" t="inlineStr">
        <is>
          <t>VÄSTERBOTTENS LÄN</t>
        </is>
      </c>
      <c r="G249" t="inlineStr">
        <is>
          <t>MALÅ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45167</v>
      </c>
      <c r="E250" s="1" t="n">
        <v>46297</v>
      </c>
      <c r="F250" t="inlineStr">
        <is>
          <t>VÄSTERBOTTENS LÄN</t>
        </is>
      </c>
      <c r="G250" t="inlineStr">
        <is>
          <t>MALÅ</t>
        </is>
      </c>
      <c r="I250" t="n">
        <v>10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46297</v>
      </c>
      <c r="F251" t="inlineStr">
        <is>
          <t>VÄSTERBOTTENS LÄN</t>
        </is>
      </c>
      <c r="G251" t="inlineStr">
        <is>
          <t>MALÅ</t>
        </is>
      </c>
      <c r="H251" t="inlineStr">
        <is>
          <t>Kyrkan</t>
        </is>
      </c>
      <c r="I251" t="n">
        <v>27.3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39320-2023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46297</v>
      </c>
      <c r="F252" t="inlineStr">
        <is>
          <t>VÄSTERBOTTENS LÄN</t>
        </is>
      </c>
      <c r="G252" t="inlineStr">
        <is>
          <t>MALÅ</t>
        </is>
      </c>
      <c r="H252" t="inlineStr">
        <is>
          <t>Kyrkan</t>
        </is>
      </c>
      <c r="I252" t="n">
        <v>84.5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46297</v>
      </c>
      <c r="F253" t="inlineStr">
        <is>
          <t>VÄSTERBOTTENS LÄN</t>
        </is>
      </c>
      <c r="G253" t="inlineStr">
        <is>
          <t>MALÅ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30502-2026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46210</v>
      </c>
      <c r="E254" s="1" t="n">
        <v>46297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46297</v>
      </c>
      <c r="F255" t="inlineStr">
        <is>
          <t>VÄSTERBOTTENS LÄN</t>
        </is>
      </c>
      <c r="G255" t="inlineStr">
        <is>
          <t>MALÅ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41852-2023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45174</v>
      </c>
      <c r="E256" s="1" t="n">
        <v>46297</v>
      </c>
      <c r="F256" t="inlineStr">
        <is>
          <t>VÄSTERBOTTENS LÄN</t>
        </is>
      </c>
      <c r="G256" t="inlineStr">
        <is>
          <t>MALÅ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45149</v>
      </c>
      <c r="E257" s="1" t="n">
        <v>46297</v>
      </c>
      <c r="F257" t="inlineStr">
        <is>
          <t>VÄSTERBOTTENS LÄN</t>
        </is>
      </c>
      <c r="G257" t="inlineStr">
        <is>
          <t>MALÅ</t>
        </is>
      </c>
      <c r="I257" t="n">
        <v>147.1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45202</v>
      </c>
      <c r="E258" s="1" t="n">
        <v>46297</v>
      </c>
      <c r="F258" t="inlineStr">
        <is>
          <t>VÄSTERBOTTENS LÄN</t>
        </is>
      </c>
      <c r="G258" t="inlineStr">
        <is>
          <t>MALÅ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45229</v>
      </c>
      <c r="E259" s="1" t="n">
        <v>46297</v>
      </c>
      <c r="F259" t="inlineStr">
        <is>
          <t>VÄSTERBOTTENS LÄN</t>
        </is>
      </c>
      <c r="G259" t="inlineStr">
        <is>
          <t>MALÅ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35183-2026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46260</v>
      </c>
      <c r="E260" s="1" t="n">
        <v>46297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46297</v>
      </c>
      <c r="F261" t="inlineStr">
        <is>
          <t>VÄSTERBOTTENS LÄN</t>
        </is>
      </c>
      <c r="G261" t="inlineStr">
        <is>
          <t>MALÅ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62284-2023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46297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46297</v>
      </c>
      <c r="F263" t="inlineStr">
        <is>
          <t>VÄSTERBOTTENS LÄN</t>
        </is>
      </c>
      <c r="G263" t="inlineStr">
        <is>
          <t>MALÅ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46223</v>
      </c>
      <c r="E264" s="1" t="n">
        <v>46297</v>
      </c>
      <c r="F264" t="inlineStr">
        <is>
          <t>VÄSTERBOTTENS LÄN</t>
        </is>
      </c>
      <c r="G264" t="inlineStr">
        <is>
          <t>MALÅ</t>
        </is>
      </c>
      <c r="H264" t="inlineStr">
        <is>
          <t>SCA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31535-2026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46223</v>
      </c>
      <c r="E265" s="1" t="n">
        <v>46297</v>
      </c>
      <c r="F265" t="inlineStr">
        <is>
          <t>VÄSTERBOTTENS LÄN</t>
        </is>
      </c>
      <c r="G265" t="inlineStr">
        <is>
          <t>MALÅ</t>
        </is>
      </c>
      <c r="H265" t="inlineStr">
        <is>
          <t>SCA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45694</v>
      </c>
      <c r="E266" s="1" t="n">
        <v>46297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44575</v>
      </c>
      <c r="E267" s="1" t="n">
        <v>46297</v>
      </c>
      <c r="F267" t="inlineStr">
        <is>
          <t>VÄSTERBOTTENS LÄN</t>
        </is>
      </c>
      <c r="G267" t="inlineStr">
        <is>
          <t>MALÅ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26853-2026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46185</v>
      </c>
      <c r="E268" s="1" t="n">
        <v>46297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46297</v>
      </c>
      <c r="F269" t="inlineStr">
        <is>
          <t>VÄSTERBOTTENS LÄN</t>
        </is>
      </c>
      <c r="G269" t="inlineStr">
        <is>
          <t>MALÅ</t>
        </is>
      </c>
      <c r="I269" t="n">
        <v>7.4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44967</v>
      </c>
      <c r="E270" s="1" t="n">
        <v>46297</v>
      </c>
      <c r="F270" t="inlineStr">
        <is>
          <t>VÄSTERBOTTENS LÄN</t>
        </is>
      </c>
      <c r="G270" t="inlineStr">
        <is>
          <t>MALÅ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45167</v>
      </c>
      <c r="E271" s="1" t="n">
        <v>46297</v>
      </c>
      <c r="F271" t="inlineStr">
        <is>
          <t>VÄSTERBOTTENS LÄN</t>
        </is>
      </c>
      <c r="G271" t="inlineStr">
        <is>
          <t>MALÅ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46297</v>
      </c>
      <c r="F272" t="inlineStr">
        <is>
          <t>VÄSTERBOTTENS LÄN</t>
        </is>
      </c>
      <c r="G272" t="inlineStr">
        <is>
          <t>MALÅ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46297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46297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45229</v>
      </c>
      <c r="E275" s="1" t="n">
        <v>46297</v>
      </c>
      <c r="F275" t="inlineStr">
        <is>
          <t>VÄSTERBOTTENS LÄN</t>
        </is>
      </c>
      <c r="G275" t="inlineStr">
        <is>
          <t>MALÅ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46276</v>
      </c>
      <c r="E276" s="1" t="n">
        <v>46297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46276</v>
      </c>
      <c r="E277" s="1" t="n">
        <v>46297</v>
      </c>
      <c r="F277" t="inlineStr">
        <is>
          <t>VÄSTERBOTTENS LÄN</t>
        </is>
      </c>
      <c r="G277" t="inlineStr">
        <is>
          <t>MALÅ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37638-2026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46276</v>
      </c>
      <c r="E278" s="1" t="n">
        <v>46297</v>
      </c>
      <c r="F278" t="inlineStr">
        <is>
          <t>VÄSTERBOTTENS LÄN</t>
        </is>
      </c>
      <c r="G278" t="inlineStr">
        <is>
          <t>MALÅ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46232</v>
      </c>
      <c r="E279" s="1" t="n">
        <v>46297</v>
      </c>
      <c r="F279" t="inlineStr">
        <is>
          <t>VÄSTERBOTTENS LÄN</t>
        </is>
      </c>
      <c r="G279" t="inlineStr">
        <is>
          <t>MALÅ</t>
        </is>
      </c>
      <c r="H279" t="inlineStr">
        <is>
          <t>SCA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37867-2026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46279</v>
      </c>
      <c r="E280" s="1" t="n">
        <v>46297</v>
      </c>
      <c r="F280" t="inlineStr">
        <is>
          <t>VÄSTERBOTTENS LÄN</t>
        </is>
      </c>
      <c r="G280" t="inlineStr">
        <is>
          <t>MALÅ</t>
        </is>
      </c>
      <c r="H280" t="inlineStr">
        <is>
          <t>SCA</t>
        </is>
      </c>
      <c r="I280" t="n">
        <v>10.5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46297</v>
      </c>
      <c r="F281" t="inlineStr">
        <is>
          <t>VÄSTERBOTTENS LÄN</t>
        </is>
      </c>
      <c r="G281" t="inlineStr">
        <is>
          <t>MALÅ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39153-2023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45166</v>
      </c>
      <c r="E282" s="1" t="n">
        <v>46297</v>
      </c>
      <c r="F282" t="inlineStr">
        <is>
          <t>VÄSTERBOTTENS LÄN</t>
        </is>
      </c>
      <c r="G282" t="inlineStr">
        <is>
          <t>MALÅ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68036-2021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44525</v>
      </c>
      <c r="E283" s="1" t="n">
        <v>46297</v>
      </c>
      <c r="F283" t="inlineStr">
        <is>
          <t>VÄSTERBOTTENS LÄN</t>
        </is>
      </c>
      <c r="G283" t="inlineStr">
        <is>
          <t>MALÅ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37462-2024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46297</v>
      </c>
      <c r="F284" t="inlineStr">
        <is>
          <t>VÄSTERBOTTENS LÄN</t>
        </is>
      </c>
      <c r="G284" t="inlineStr">
        <is>
          <t>MALÅ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45158</v>
      </c>
      <c r="E285" s="1" t="n">
        <v>46297</v>
      </c>
      <c r="F285" t="inlineStr">
        <is>
          <t>VÄSTERBOTTENS LÄN</t>
        </is>
      </c>
      <c r="G285" t="inlineStr">
        <is>
          <t>MALÅ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46297</v>
      </c>
      <c r="F286" t="inlineStr">
        <is>
          <t>VÄSTERBOTTENS LÄN</t>
        </is>
      </c>
      <c r="G286" t="inlineStr">
        <is>
          <t>MALÅ</t>
        </is>
      </c>
      <c r="I286" t="n">
        <v>41.2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12680-2022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44641</v>
      </c>
      <c r="E287" s="1" t="n">
        <v>46297</v>
      </c>
      <c r="F287" t="inlineStr">
        <is>
          <t>VÄSTERBOTTENS LÄN</t>
        </is>
      </c>
      <c r="G287" t="inlineStr">
        <is>
          <t>MALÅ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46297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23.4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45736</v>
      </c>
      <c r="E289" s="1" t="n">
        <v>46297</v>
      </c>
      <c r="F289" t="inlineStr">
        <is>
          <t>VÄSTERBOTTENS LÄN</t>
        </is>
      </c>
      <c r="G289" t="inlineStr">
        <is>
          <t>MALÅ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45171</v>
      </c>
      <c r="E290" s="1" t="n">
        <v>46297</v>
      </c>
      <c r="F290" t="inlineStr">
        <is>
          <t>VÄSTERBOTTENS LÄN</t>
        </is>
      </c>
      <c r="G290" t="inlineStr">
        <is>
          <t>MALÅ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45184</v>
      </c>
      <c r="E291" s="1" t="n">
        <v>46297</v>
      </c>
      <c r="F291" t="inlineStr">
        <is>
          <t>VÄSTERBOTTENS LÄN</t>
        </is>
      </c>
      <c r="G291" t="inlineStr">
        <is>
          <t>MALÅ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39994-2023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46297</v>
      </c>
      <c r="F292" t="inlineStr">
        <is>
          <t>VÄSTERBOTTENS LÄN</t>
        </is>
      </c>
      <c r="G292" t="inlineStr">
        <is>
          <t>MALÅ</t>
        </is>
      </c>
      <c r="I292" t="n">
        <v>27.9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45807-2023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46297</v>
      </c>
      <c r="F293" t="inlineStr">
        <is>
          <t>VÄSTERBOTTENS LÄN</t>
        </is>
      </c>
      <c r="G293" t="inlineStr">
        <is>
          <t>MALÅ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46265</v>
      </c>
      <c r="E294" s="1" t="n">
        <v>46297</v>
      </c>
      <c r="F294" t="inlineStr">
        <is>
          <t>VÄSTERBOTTENS LÄN</t>
        </is>
      </c>
      <c r="G294" t="inlineStr">
        <is>
          <t>MALÅ</t>
        </is>
      </c>
      <c r="H294" t="inlineStr">
        <is>
          <t>SCA</t>
        </is>
      </c>
      <c r="I294" t="n">
        <v>11.5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45660</v>
      </c>
      <c r="E295" s="1" t="n">
        <v>46297</v>
      </c>
      <c r="F295" t="inlineStr">
        <is>
          <t>VÄSTERBOTTENS LÄN</t>
        </is>
      </c>
      <c r="G295" t="inlineStr">
        <is>
          <t>MALÅ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54841-2023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45236</v>
      </c>
      <c r="E296" s="1" t="n">
        <v>46297</v>
      </c>
      <c r="F296" t="inlineStr">
        <is>
          <t>VÄSTERBOTTENS LÄN</t>
        </is>
      </c>
      <c r="G296" t="inlineStr">
        <is>
          <t>MALÅ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46297</v>
      </c>
      <c r="F297" t="inlineStr">
        <is>
          <t>VÄSTERBOTTENS LÄN</t>
        </is>
      </c>
      <c r="G297" t="inlineStr">
        <is>
          <t>MALÅ</t>
        </is>
      </c>
      <c r="H297" t="inlineStr">
        <is>
          <t>SCA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39644-2026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46289</v>
      </c>
      <c r="E298" s="1" t="n">
        <v>46297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46297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8.199999999999999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58893-2025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45987</v>
      </c>
      <c r="E300" s="1" t="n">
        <v>46297</v>
      </c>
      <c r="F300" t="inlineStr">
        <is>
          <t>VÄSTERBOTTENS LÄN</t>
        </is>
      </c>
      <c r="G300" t="inlineStr">
        <is>
          <t>MALÅ</t>
        </is>
      </c>
      <c r="I300" t="n">
        <v>19.2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46297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46297</v>
      </c>
      <c r="F302" t="inlineStr">
        <is>
          <t>VÄSTERBOTTENS LÄN</t>
        </is>
      </c>
      <c r="G302" t="inlineStr">
        <is>
          <t>MALÅ</t>
        </is>
      </c>
      <c r="I302" t="n">
        <v>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46297</v>
      </c>
      <c r="F303" t="inlineStr">
        <is>
          <t>VÄSTERBOTTENS LÄN</t>
        </is>
      </c>
      <c r="G303" t="inlineStr">
        <is>
          <t>MALÅ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46297</v>
      </c>
      <c r="F304" t="inlineStr">
        <is>
          <t>VÄSTERBOTTENS LÄN</t>
        </is>
      </c>
      <c r="G304" t="inlineStr">
        <is>
          <t>MALÅ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46246</v>
      </c>
      <c r="E305" s="1" t="n">
        <v>46297</v>
      </c>
      <c r="F305" t="inlineStr">
        <is>
          <t>VÄSTERBOTTENS LÄN</t>
        </is>
      </c>
      <c r="G305" t="inlineStr">
        <is>
          <t>MALÅ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46297</v>
      </c>
      <c r="F306" t="inlineStr">
        <is>
          <t>VÄSTERBOTTENS LÄN</t>
        </is>
      </c>
      <c r="G306" t="inlineStr">
        <is>
          <t>MALÅ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46289</v>
      </c>
      <c r="E307" s="1" t="n">
        <v>46297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45154</v>
      </c>
      <c r="E308" s="1" t="n">
        <v>46297</v>
      </c>
      <c r="F308" t="inlineStr">
        <is>
          <t>VÄSTERBOTTENS LÄN</t>
        </is>
      </c>
      <c r="G308" t="inlineStr">
        <is>
          <t>MALÅ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44426-2023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45188</v>
      </c>
      <c r="E309" s="1" t="n">
        <v>46297</v>
      </c>
      <c r="F309" t="inlineStr">
        <is>
          <t>VÄSTERBOTTENS LÄN</t>
        </is>
      </c>
      <c r="G309" t="inlineStr">
        <is>
          <t>MALÅ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45176</v>
      </c>
      <c r="E310" s="1" t="n">
        <v>46297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10.7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45166</v>
      </c>
      <c r="E311" s="1" t="n">
        <v>46297</v>
      </c>
      <c r="F311" t="inlineStr">
        <is>
          <t>VÄSTERBOTTENS LÄN</t>
        </is>
      </c>
      <c r="G311" t="inlineStr">
        <is>
          <t>MALÅ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59561-2024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46297</v>
      </c>
      <c r="F312" t="inlineStr">
        <is>
          <t>VÄSTERBOTTENS LÄN</t>
        </is>
      </c>
      <c r="G312" t="inlineStr">
        <is>
          <t>MALÅ</t>
        </is>
      </c>
      <c r="I312" t="n">
        <v>11.4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46297</v>
      </c>
      <c r="F313" t="inlineStr">
        <is>
          <t>VÄSTERBOTTENS LÄN</t>
        </is>
      </c>
      <c r="G313" t="inlineStr">
        <is>
          <t>MALÅ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67679-2021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44524</v>
      </c>
      <c r="E314" s="1" t="n">
        <v>46297</v>
      </c>
      <c r="F314" t="inlineStr">
        <is>
          <t>VÄSTERBOTTENS LÄN</t>
        </is>
      </c>
      <c r="G314" t="inlineStr">
        <is>
          <t>MALÅ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40588-2023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45170</v>
      </c>
      <c r="E315" s="1" t="n">
        <v>46297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45625</v>
      </c>
      <c r="E316" s="1" t="n">
        <v>46297</v>
      </c>
      <c r="F316" t="inlineStr">
        <is>
          <t>VÄSTERBOTTENS LÄN</t>
        </is>
      </c>
      <c r="G316" t="inlineStr">
        <is>
          <t>MALÅ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46297</v>
      </c>
      <c r="F317" t="inlineStr">
        <is>
          <t>VÄSTERBOTTENS LÄN</t>
        </is>
      </c>
      <c r="G317" t="inlineStr">
        <is>
          <t>MALÅ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46297</v>
      </c>
      <c r="F318" t="inlineStr">
        <is>
          <t>VÄSTERBOTTENS LÄN</t>
        </is>
      </c>
      <c r="G318" t="inlineStr">
        <is>
          <t>MALÅ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33764-2026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46251</v>
      </c>
      <c r="E319" s="1" t="n">
        <v>46297</v>
      </c>
      <c r="F319" t="inlineStr">
        <is>
          <t>VÄSTERBOTTENS LÄN</t>
        </is>
      </c>
      <c r="G319" t="inlineStr">
        <is>
          <t>MALÅ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60624-2024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46297</v>
      </c>
      <c r="F320" t="inlineStr">
        <is>
          <t>VÄSTERBOTTENS LÄN</t>
        </is>
      </c>
      <c r="G320" t="inlineStr">
        <is>
          <t>MALÅ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46297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46253</v>
      </c>
      <c r="E322" s="1" t="n">
        <v>46297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46297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8.800000000000001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34259-2026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46253</v>
      </c>
      <c r="E324" s="1" t="n">
        <v>46297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18.4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49226-2024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46297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45154</v>
      </c>
      <c r="E326" s="1" t="n">
        <v>46297</v>
      </c>
      <c r="F326" t="inlineStr">
        <is>
          <t>VÄSTERBOTTENS LÄN</t>
        </is>
      </c>
      <c r="G326" t="inlineStr">
        <is>
          <t>MALÅ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45233</v>
      </c>
      <c r="E327" s="1" t="n">
        <v>46297</v>
      </c>
      <c r="F327" t="inlineStr">
        <is>
          <t>VÄSTERBOTTENS LÄN</t>
        </is>
      </c>
      <c r="G327" t="inlineStr">
        <is>
          <t>MALÅ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42183-2023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45178</v>
      </c>
      <c r="E328" s="1" t="n">
        <v>46297</v>
      </c>
      <c r="F328" t="inlineStr">
        <is>
          <t>VÄSTERBOTTENS LÄN</t>
        </is>
      </c>
      <c r="G328" t="inlineStr">
        <is>
          <t>MALÅ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46297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46297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46297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48731-2023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46297</v>
      </c>
      <c r="F332" t="inlineStr">
        <is>
          <t>VÄSTERBOTTENS LÄN</t>
        </is>
      </c>
      <c r="G332" t="inlineStr">
        <is>
          <t>MALÅ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45210</v>
      </c>
      <c r="E333" s="1" t="n">
        <v>46297</v>
      </c>
      <c r="F333" t="inlineStr">
        <is>
          <t>VÄSTERBOTTENS LÄN</t>
        </is>
      </c>
      <c r="G333" t="inlineStr">
        <is>
          <t>MALÅ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46297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53068-2023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45227</v>
      </c>
      <c r="E335" s="1" t="n">
        <v>46297</v>
      </c>
      <c r="F335" t="inlineStr">
        <is>
          <t>VÄSTERBOTTENS LÄN</t>
        </is>
      </c>
      <c r="G335" t="inlineStr">
        <is>
          <t>MALÅ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41126-2023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46297</v>
      </c>
      <c r="F336" t="inlineStr">
        <is>
          <t>VÄSTERBOTTENS LÄN</t>
        </is>
      </c>
      <c r="G336" t="inlineStr">
        <is>
          <t>MALÅ</t>
        </is>
      </c>
      <c r="I336" t="n">
        <v>8.5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46297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51573-2023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46297</v>
      </c>
      <c r="F338" t="inlineStr">
        <is>
          <t>VÄSTERBOTTENS LÄN</t>
        </is>
      </c>
      <c r="G338" t="inlineStr">
        <is>
          <t>MALÅ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60577-2022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46297</v>
      </c>
      <c r="F339" t="inlineStr">
        <is>
          <t>VÄSTERBOTTENS LÄN</t>
        </is>
      </c>
      <c r="G339" t="inlineStr">
        <is>
          <t>MALÅ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46297</v>
      </c>
      <c r="F340" t="inlineStr">
        <is>
          <t>VÄSTERBOTTENS LÄN</t>
        </is>
      </c>
      <c r="G340" t="inlineStr">
        <is>
          <t>MALÅ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46297</v>
      </c>
      <c r="F341" t="inlineStr">
        <is>
          <t>VÄSTERBOTTENS LÄN</t>
        </is>
      </c>
      <c r="G341" t="inlineStr">
        <is>
          <t>MALÅ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46297</v>
      </c>
      <c r="F342" t="inlineStr">
        <is>
          <t>VÄSTERBOTTENS LÄN</t>
        </is>
      </c>
      <c r="G342" t="inlineStr">
        <is>
          <t>MALÅ</t>
        </is>
      </c>
      <c r="I342" t="n">
        <v>30.4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58838-2024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45636</v>
      </c>
      <c r="E343" s="1" t="n">
        <v>46297</v>
      </c>
      <c r="F343" t="inlineStr">
        <is>
          <t>VÄSTERBOTTENS LÄN</t>
        </is>
      </c>
      <c r="G343" t="inlineStr">
        <is>
          <t>MALÅ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45483</v>
      </c>
      <c r="E344" s="1" t="n">
        <v>46297</v>
      </c>
      <c r="F344" t="inlineStr">
        <is>
          <t>VÄSTERBOTTENS LÄN</t>
        </is>
      </c>
      <c r="G344" t="inlineStr">
        <is>
          <t>MALÅ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36695-2023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45152</v>
      </c>
      <c r="E345" s="1" t="n">
        <v>46297</v>
      </c>
      <c r="F345" t="inlineStr">
        <is>
          <t>VÄSTERBOTTENS LÄN</t>
        </is>
      </c>
      <c r="G345" t="inlineStr">
        <is>
          <t>MALÅ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23631-2024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45454</v>
      </c>
      <c r="E346" s="1" t="n">
        <v>46297</v>
      </c>
      <c r="F346" t="inlineStr">
        <is>
          <t>VÄSTERBOTTENS LÄN</t>
        </is>
      </c>
      <c r="G346" t="inlineStr">
        <is>
          <t>MALÅ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>
      <c r="A347" t="inlineStr">
        <is>
          <t>S 894-2022</t>
        </is>
      </c>
      <c r="B347" t="inlineStr">
        <is>
          <t>samrådsanmälan</t>
        </is>
      </c>
      <c r="C347" t="inlineStr">
        <is>
          <t>Skogsgödsling</t>
        </is>
      </c>
      <c r="D347" s="1" t="n">
        <v>44607</v>
      </c>
      <c r="E347" s="1" t="n">
        <v>46297</v>
      </c>
      <c r="F347" t="inlineStr">
        <is>
          <t>VÄSTERBOTTENS LÄN</t>
        </is>
      </c>
      <c r="G347" t="inlineStr">
        <is>
          <t>MALÅ</t>
        </is>
      </c>
      <c r="H347" t="inlineStr">
        <is>
          <t>SCA</t>
        </is>
      </c>
      <c r="I347" t="n">
        <v>86.3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2026-10-02T02:03:43Z</dcterms:created>
  <dcterms:modified xmlns:dcterms="http://purl.org/dc/terms/" xmlns:xsi="http://www.w3.org/2001/XMLSchema-instance" xsi:type="dcterms:W3CDTF">2026-10-02T02:03:44Z</dcterms:modified>
</cp:coreProperties>
</file>