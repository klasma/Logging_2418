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46261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Grantaggsvamp</t>
        </is>
      </c>
      <c r="W6">
        <f>HYPERLINK("https://klasma.github.io/Logging_2418/artfynd/A 5658-2026 artfynd.xlsx", "A 5658-2026")</f>
        <v/>
      </c>
      <c r="X6">
        <f>HYPERLINK("https://klasma.github.io/Logging_2418/kartor/A 5658-2026 karta.png", "A 5658-2026")</f>
        <v/>
      </c>
      <c r="Y6">
        <f>HYPERLINK("https://klasma.github.io/Logging_2418/kartor_geotiff/A 5658-2026 georefererad karta.tif", "A 5658-2026")</f>
        <v/>
      </c>
      <c r="AA6">
        <f>HYPERLINK("https://klasma.github.io/Logging_2418/klagomål/A 5658-2026 FSC-klagomål.docx", "A 5658-2026")</f>
        <v/>
      </c>
      <c r="AB6">
        <f>HYPERLINK("https://klasma.github.io/Logging_2418/klagomålsmail/A 5658-2026 FSC-klagomål mail.docx", "A 5658-2026")</f>
        <v/>
      </c>
      <c r="AC6">
        <f>HYPERLINK("https://klasma.github.io/Logging_2418/tillsyn/A 5658-2026 tillsynsbegäran.docx", "A 5658-2026")</f>
        <v/>
      </c>
      <c r="AD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46261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46261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35181-2026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46260</v>
      </c>
      <c r="E9" s="1" t="n">
        <v>46261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7.9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Kolflarnlav</t>
        </is>
      </c>
      <c r="W9">
        <f>HYPERLINK("https://klasma.github.io/Logging_2418/artfynd/A 35181-2026 artfynd.xlsx", "A 35181-2026")</f>
        <v/>
      </c>
      <c r="X9">
        <f>HYPERLINK("https://klasma.github.io/Logging_2418/kartor/A 35181-2026 karta.png", "A 35181-2026")</f>
        <v/>
      </c>
      <c r="Y9">
        <f>HYPERLINK("https://klasma.github.io/Logging_2418/kartor_geotiff/A 35181-2026 georefererad karta.tif", "A 35181-2026")</f>
        <v/>
      </c>
      <c r="AA9">
        <f>HYPERLINK("https://klasma.github.io/Logging_2418/klagomål/A 35181-2026 FSC-klagomål.docx", "A 35181-2026")</f>
        <v/>
      </c>
      <c r="AB9">
        <f>HYPERLINK("https://klasma.github.io/Logging_2418/klagomålsmail/A 35181-2026 FSC-klagomål mail.docx", "A 35181-2026")</f>
        <v/>
      </c>
      <c r="AC9">
        <f>HYPERLINK("https://klasma.github.io/Logging_2418/tillsyn/A 35181-2026 tillsynsbegäran.docx", "A 35181-2026")</f>
        <v/>
      </c>
      <c r="AD9">
        <f>HYPERLINK("https://klasma.github.io/Logging_2418/tillsynsmail/A 35181-2026 tillsynsbegäran mail.docx", "A 35181-2026")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46261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44454</v>
      </c>
      <c r="E11" s="1" t="n">
        <v>46261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26.5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Norna</t>
        </is>
      </c>
      <c r="W11">
        <f>HYPERLINK("https://klasma.github.io/Logging_2418/artfynd/A 49370-2021 artfynd.xlsx", "A 49370-2021")</f>
        <v/>
      </c>
      <c r="X11">
        <f>HYPERLINK("https://klasma.github.io/Logging_2418/kartor/A 49370-2021 karta.png", "A 49370-2021")</f>
        <v/>
      </c>
      <c r="Y11">
        <f>HYPERLINK("https://klasma.github.io/Logging_2418/kartor_geotiff/A 49370-2021 georefererad karta.tif", "A 49370-2021")</f>
        <v/>
      </c>
      <c r="AA11">
        <f>HYPERLINK("https://klasma.github.io/Logging_2418/klagomål/A 49370-2021 FSC-klagomål.docx", "A 49370-2021")</f>
        <v/>
      </c>
      <c r="AB11">
        <f>HYPERLINK("https://klasma.github.io/Logging_2418/klagomålsmail/A 49370-2021 FSC-klagomål mail.docx", "A 49370-2021")</f>
        <v/>
      </c>
      <c r="AC11">
        <f>HYPERLINK("https://klasma.github.io/Logging_2418/tillsyn/A 49370-2021 tillsynsbegäran.docx", "A 49370-2021")</f>
        <v/>
      </c>
      <c r="AD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46261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46261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46261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46261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46261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46261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46261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46261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46261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46261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46261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45549-2021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44440</v>
      </c>
      <c r="E23" s="1" t="n">
        <v>46261</v>
      </c>
      <c r="F23" t="inlineStr">
        <is>
          <t>VÄSTERBOTTENS LÄN</t>
        </is>
      </c>
      <c r="G23" t="inlineStr">
        <is>
          <t>MALÅ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46261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46261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46261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46261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46261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46261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48.3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13004-2023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46261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45700</v>
      </c>
      <c r="E31" s="1" t="n">
        <v>46261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46261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32979-2024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46261</v>
      </c>
      <c r="F33" t="inlineStr">
        <is>
          <t>VÄSTERBOTTENS LÄN</t>
        </is>
      </c>
      <c r="G33" t="inlineStr">
        <is>
          <t>MALÅ</t>
        </is>
      </c>
      <c r="I33" t="n">
        <v>15.5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45189</v>
      </c>
      <c r="E34" s="1" t="n">
        <v>46261</v>
      </c>
      <c r="F34" t="inlineStr">
        <is>
          <t>VÄSTERBOTTENS LÄN</t>
        </is>
      </c>
      <c r="G34" t="inlineStr">
        <is>
          <t>MALÅ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46989-2023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45201</v>
      </c>
      <c r="E35" s="1" t="n">
        <v>46261</v>
      </c>
      <c r="F35" t="inlineStr">
        <is>
          <t>VÄSTERBOTTENS LÄN</t>
        </is>
      </c>
      <c r="G35" t="inlineStr">
        <is>
          <t>MALÅ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45219</v>
      </c>
      <c r="E36" s="1" t="n">
        <v>46261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44939</v>
      </c>
      <c r="E37" s="1" t="n">
        <v>46261</v>
      </c>
      <c r="F37" t="inlineStr">
        <is>
          <t>VÄSTERBOTTENS LÄN</t>
        </is>
      </c>
      <c r="G37" t="inlineStr">
        <is>
          <t>MALÅ</t>
        </is>
      </c>
      <c r="H37" t="inlineStr">
        <is>
          <t>SCA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46261</v>
      </c>
      <c r="F38" t="inlineStr">
        <is>
          <t>VÄSTERBOTTENS LÄN</t>
        </is>
      </c>
      <c r="G38" t="inlineStr">
        <is>
          <t>MALÅ</t>
        </is>
      </c>
      <c r="I38" t="n">
        <v>16.6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46027</v>
      </c>
      <c r="E39" s="1" t="n">
        <v>46261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46027</v>
      </c>
      <c r="E40" s="1" t="n">
        <v>46261</v>
      </c>
      <c r="F40" t="inlineStr">
        <is>
          <t>VÄSTERBOTTENS LÄN</t>
        </is>
      </c>
      <c r="G40" t="inlineStr">
        <is>
          <t>MALÅ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46261</v>
      </c>
      <c r="F41" t="inlineStr">
        <is>
          <t>VÄSTERBOTTENS LÄN</t>
        </is>
      </c>
      <c r="G41" t="inlineStr">
        <is>
          <t>MALÅ</t>
        </is>
      </c>
      <c r="I41" t="n">
        <v>8.199999999999999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46261</v>
      </c>
      <c r="F42" t="inlineStr">
        <is>
          <t>VÄSTERBOTTENS LÄN</t>
        </is>
      </c>
      <c r="G42" t="inlineStr">
        <is>
          <t>MALÅ</t>
        </is>
      </c>
      <c r="I42" t="n">
        <v>41.7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46261</v>
      </c>
      <c r="F43" t="inlineStr">
        <is>
          <t>VÄSTERBOTTENS LÄN</t>
        </is>
      </c>
      <c r="G43" t="inlineStr">
        <is>
          <t>MALÅ</t>
        </is>
      </c>
      <c r="I43" t="n">
        <v>10.8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46261</v>
      </c>
      <c r="F44" t="inlineStr">
        <is>
          <t>VÄSTERBOTTENS LÄN</t>
        </is>
      </c>
      <c r="G44" t="inlineStr">
        <is>
          <t>MALÅ</t>
        </is>
      </c>
      <c r="I44" t="n">
        <v>9.5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46261</v>
      </c>
      <c r="F45" t="inlineStr">
        <is>
          <t>VÄSTERBOTTENS LÄN</t>
        </is>
      </c>
      <c r="G45" t="inlineStr">
        <is>
          <t>MALÅ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24681-2025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46261</v>
      </c>
      <c r="F46" t="inlineStr">
        <is>
          <t>VÄSTERBOTTENS LÄN</t>
        </is>
      </c>
      <c r="G46" t="inlineStr">
        <is>
          <t>MALÅ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44448</v>
      </c>
      <c r="E47" s="1" t="n">
        <v>46261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46261</v>
      </c>
      <c r="F48" t="inlineStr">
        <is>
          <t>VÄSTERBOTTENS LÄN</t>
        </is>
      </c>
      <c r="G48" t="inlineStr">
        <is>
          <t>MALÅ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46261</v>
      </c>
      <c r="F49" t="inlineStr">
        <is>
          <t>VÄSTERBOTTENS LÄN</t>
        </is>
      </c>
      <c r="G49" t="inlineStr">
        <is>
          <t>MALÅ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46035</v>
      </c>
      <c r="E50" s="1" t="n">
        <v>46261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46261</v>
      </c>
      <c r="F51" t="inlineStr">
        <is>
          <t>VÄSTERBOTTENS LÄN</t>
        </is>
      </c>
      <c r="G51" t="inlineStr">
        <is>
          <t>MALÅ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46042</v>
      </c>
      <c r="E52" s="1" t="n">
        <v>46261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46261</v>
      </c>
      <c r="F53" t="inlineStr">
        <is>
          <t>VÄSTERBOTTENS LÄN</t>
        </is>
      </c>
      <c r="G53" t="inlineStr">
        <is>
          <t>MALÅ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33690-2024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46261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39622-2025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46261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39627-2025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46261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39614-2025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46261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46261</v>
      </c>
      <c r="F58" t="inlineStr">
        <is>
          <t>VÄSTERBOTTENS LÄN</t>
        </is>
      </c>
      <c r="G58" t="inlineStr">
        <is>
          <t>MALÅ</t>
        </is>
      </c>
      <c r="I58" t="n">
        <v>8.9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31088-2024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45502</v>
      </c>
      <c r="E59" s="1" t="n">
        <v>46261</v>
      </c>
      <c r="F59" t="inlineStr">
        <is>
          <t>VÄSTERBOTTENS LÄN</t>
        </is>
      </c>
      <c r="G59" t="inlineStr">
        <is>
          <t>MALÅ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48089-2024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46261</v>
      </c>
      <c r="F60" t="inlineStr">
        <is>
          <t>VÄSTERBOTTENS LÄN</t>
        </is>
      </c>
      <c r="G60" t="inlineStr">
        <is>
          <t>MALÅ</t>
        </is>
      </c>
      <c r="H60" t="inlineStr">
        <is>
          <t>SCA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41198-2025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45898</v>
      </c>
      <c r="E61" s="1" t="n">
        <v>46261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22.4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46261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41191-2025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46261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40943-2025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45897</v>
      </c>
      <c r="E64" s="1" t="n">
        <v>46261</v>
      </c>
      <c r="F64" t="inlineStr">
        <is>
          <t>VÄSTERBOTTENS LÄN</t>
        </is>
      </c>
      <c r="G64" t="inlineStr">
        <is>
          <t>MALÅ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45901</v>
      </c>
      <c r="E65" s="1" t="n">
        <v>46261</v>
      </c>
      <c r="F65" t="inlineStr">
        <is>
          <t>VÄSTERBOTTENS LÄN</t>
        </is>
      </c>
      <c r="G65" t="inlineStr">
        <is>
          <t>MALÅ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8648-2026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46066</v>
      </c>
      <c r="E66" s="1" t="n">
        <v>46261</v>
      </c>
      <c r="F66" t="inlineStr">
        <is>
          <t>VÄSTERBOTTENS LÄN</t>
        </is>
      </c>
      <c r="G66" t="inlineStr">
        <is>
          <t>MALÅ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46066</v>
      </c>
      <c r="E67" s="1" t="n">
        <v>46261</v>
      </c>
      <c r="F67" t="inlineStr">
        <is>
          <t>VÄSTERBOTTENS LÄN</t>
        </is>
      </c>
      <c r="G67" t="inlineStr">
        <is>
          <t>MALÅ</t>
        </is>
      </c>
      <c r="H67" t="inlineStr">
        <is>
          <t>SCA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55672-2023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45238</v>
      </c>
      <c r="E68" s="1" t="n">
        <v>46261</v>
      </c>
      <c r="F68" t="inlineStr">
        <is>
          <t>VÄSTERBOTTENS LÄN</t>
        </is>
      </c>
      <c r="G68" t="inlineStr">
        <is>
          <t>MALÅ</t>
        </is>
      </c>
      <c r="H68" t="inlineStr">
        <is>
          <t>SCA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46070</v>
      </c>
      <c r="E69" s="1" t="n">
        <v>46261</v>
      </c>
      <c r="F69" t="inlineStr">
        <is>
          <t>VÄSTERBOTTENS LÄN</t>
        </is>
      </c>
      <c r="G69" t="inlineStr">
        <is>
          <t>MALÅ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46261</v>
      </c>
      <c r="F70" t="inlineStr">
        <is>
          <t>VÄSTERBOTTENS LÄN</t>
        </is>
      </c>
      <c r="G70" t="inlineStr">
        <is>
          <t>MALÅ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46261</v>
      </c>
      <c r="F71" t="inlineStr">
        <is>
          <t>VÄSTERBOTTENS LÄN</t>
        </is>
      </c>
      <c r="G71" t="inlineStr">
        <is>
          <t>MALÅ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46084</v>
      </c>
      <c r="E72" s="1" t="n">
        <v>46261</v>
      </c>
      <c r="F72" t="inlineStr">
        <is>
          <t>VÄSTERBOTTENS LÄN</t>
        </is>
      </c>
      <c r="G72" t="inlineStr">
        <is>
          <t>MALÅ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45504</v>
      </c>
      <c r="E73" s="1" t="n">
        <v>46261</v>
      </c>
      <c r="F73" t="inlineStr">
        <is>
          <t>VÄSTERBOTTENS LÄN</t>
        </is>
      </c>
      <c r="G73" t="inlineStr">
        <is>
          <t>MALÅ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48034-2025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45932</v>
      </c>
      <c r="E74" s="1" t="n">
        <v>46261</v>
      </c>
      <c r="F74" t="inlineStr">
        <is>
          <t>VÄSTERBOTTENS LÄN</t>
        </is>
      </c>
      <c r="G74" t="inlineStr">
        <is>
          <t>MALÅ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46261</v>
      </c>
      <c r="F75" t="inlineStr">
        <is>
          <t>VÄSTERBOTTENS LÄN</t>
        </is>
      </c>
      <c r="G75" t="inlineStr">
        <is>
          <t>MALÅ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46261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46261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13773-2026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46261</v>
      </c>
      <c r="F78" t="inlineStr">
        <is>
          <t>VÄSTERBOTTENS LÄN</t>
        </is>
      </c>
      <c r="G78" t="inlineStr">
        <is>
          <t>MALÅ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45860</v>
      </c>
      <c r="E79" s="1" t="n">
        <v>46261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46261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13775-2026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46097</v>
      </c>
      <c r="E81" s="1" t="n">
        <v>46261</v>
      </c>
      <c r="F81" t="inlineStr">
        <is>
          <t>VÄSTERBOTTENS LÄN</t>
        </is>
      </c>
      <c r="G81" t="inlineStr">
        <is>
          <t>MALÅ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49070-2025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46261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45860</v>
      </c>
      <c r="E83" s="1" t="n">
        <v>46261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46261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45861</v>
      </c>
      <c r="E85" s="1" t="n">
        <v>46261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45861</v>
      </c>
      <c r="E86" s="1" t="n">
        <v>46261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46261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45861</v>
      </c>
      <c r="E88" s="1" t="n">
        <v>46261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46261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46261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36286-2025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45867</v>
      </c>
      <c r="E91" s="1" t="n">
        <v>46261</v>
      </c>
      <c r="F91" t="inlineStr">
        <is>
          <t>VÄSTERBOTTENS LÄN</t>
        </is>
      </c>
      <c r="G91" t="inlineStr">
        <is>
          <t>MALÅ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46261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15286-2026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46105</v>
      </c>
      <c r="E93" s="1" t="n">
        <v>46261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46261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58240-2022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46261</v>
      </c>
      <c r="F95" t="inlineStr">
        <is>
          <t>VÄSTERBOTTENS LÄN</t>
        </is>
      </c>
      <c r="G95" t="inlineStr">
        <is>
          <t>MALÅ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46261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46261</v>
      </c>
      <c r="F97" t="inlineStr">
        <is>
          <t>VÄSTERBOTTENS LÄN</t>
        </is>
      </c>
      <c r="G97" t="inlineStr">
        <is>
          <t>MALÅ</t>
        </is>
      </c>
      <c r="I97" t="n">
        <v>18.6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46261</v>
      </c>
      <c r="F98" t="inlineStr">
        <is>
          <t>VÄSTERBOTTENS LÄN</t>
        </is>
      </c>
      <c r="G98" t="inlineStr">
        <is>
          <t>MALÅ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46261</v>
      </c>
      <c r="F99" t="inlineStr">
        <is>
          <t>VÄSTERBOTTENS LÄN</t>
        </is>
      </c>
      <c r="G99" t="inlineStr">
        <is>
          <t>MALÅ</t>
        </is>
      </c>
      <c r="H99" t="inlineStr">
        <is>
          <t>SCA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46261</v>
      </c>
      <c r="F100" t="inlineStr">
        <is>
          <t>VÄSTERBOTTENS LÄN</t>
        </is>
      </c>
      <c r="G100" t="inlineStr">
        <is>
          <t>MALÅ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46261</v>
      </c>
      <c r="F101" t="inlineStr">
        <is>
          <t>VÄSTERBOTTENS LÄN</t>
        </is>
      </c>
      <c r="G101" t="inlineStr">
        <is>
          <t>MALÅ</t>
        </is>
      </c>
      <c r="H101" t="inlineStr">
        <is>
          <t>SCA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46261</v>
      </c>
      <c r="F102" t="inlineStr">
        <is>
          <t>VÄSTERBOTTENS LÄN</t>
        </is>
      </c>
      <c r="G102" t="inlineStr">
        <is>
          <t>MALÅ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46261</v>
      </c>
      <c r="F103" t="inlineStr">
        <is>
          <t>VÄSTERBOTTENS LÄN</t>
        </is>
      </c>
      <c r="G103" t="inlineStr">
        <is>
          <t>MALÅ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46261</v>
      </c>
      <c r="F104" t="inlineStr">
        <is>
          <t>VÄSTERBOTTENS LÄN</t>
        </is>
      </c>
      <c r="G104" t="inlineStr">
        <is>
          <t>MALÅ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46114</v>
      </c>
      <c r="E105" s="1" t="n">
        <v>46261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19.7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46261</v>
      </c>
      <c r="F106" t="inlineStr">
        <is>
          <t>VÄSTERBOTTENS LÄN</t>
        </is>
      </c>
      <c r="G106" t="inlineStr">
        <is>
          <t>MALÅ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46261</v>
      </c>
      <c r="F107" t="inlineStr">
        <is>
          <t>VÄSTERBOTTENS LÄN</t>
        </is>
      </c>
      <c r="G107" t="inlineStr">
        <is>
          <t>MALÅ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46261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63.6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46261</v>
      </c>
      <c r="F109" t="inlineStr">
        <is>
          <t>VÄSTERBOTTENS LÄN</t>
        </is>
      </c>
      <c r="G109" t="inlineStr">
        <is>
          <t>MALÅ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46261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45964</v>
      </c>
      <c r="E111" s="1" t="n">
        <v>46261</v>
      </c>
      <c r="F111" t="inlineStr">
        <is>
          <t>VÄSTERBOTTENS LÄN</t>
        </is>
      </c>
      <c r="G111" t="inlineStr">
        <is>
          <t>MALÅ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46261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54628-2025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45966</v>
      </c>
      <c r="E113" s="1" t="n">
        <v>46261</v>
      </c>
      <c r="F113" t="inlineStr">
        <is>
          <t>VÄSTERBOTTENS LÄN</t>
        </is>
      </c>
      <c r="G113" t="inlineStr">
        <is>
          <t>MALÅ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45966</v>
      </c>
      <c r="E114" s="1" t="n">
        <v>46261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46261</v>
      </c>
      <c r="F115" t="inlineStr">
        <is>
          <t>VÄSTERBOTTENS LÄN</t>
        </is>
      </c>
      <c r="G115" t="inlineStr">
        <is>
          <t>MALÅ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46133</v>
      </c>
      <c r="E116" s="1" t="n">
        <v>46261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46133</v>
      </c>
      <c r="E117" s="1" t="n">
        <v>46261</v>
      </c>
      <c r="F117" t="inlineStr">
        <is>
          <t>VÄSTERBOTTENS LÄN</t>
        </is>
      </c>
      <c r="G117" t="inlineStr">
        <is>
          <t>MALÅ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19286-2026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46261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55.9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46261</v>
      </c>
      <c r="F119" t="inlineStr">
        <is>
          <t>VÄSTERBOTTENS LÄN</t>
        </is>
      </c>
      <c r="G119" t="inlineStr">
        <is>
          <t>MALÅ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54463-2025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45964</v>
      </c>
      <c r="E120" s="1" t="n">
        <v>46261</v>
      </c>
      <c r="F120" t="inlineStr">
        <is>
          <t>VÄSTERBOTTENS LÄN</t>
        </is>
      </c>
      <c r="G120" t="inlineStr">
        <is>
          <t>MALÅ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54455-2025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45964</v>
      </c>
      <c r="E121" s="1" t="n">
        <v>46261</v>
      </c>
      <c r="F121" t="inlineStr">
        <is>
          <t>VÄSTERBOTTENS LÄN</t>
        </is>
      </c>
      <c r="G121" t="inlineStr">
        <is>
          <t>MALÅ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32772-2024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45516</v>
      </c>
      <c r="E122" s="1" t="n">
        <v>46261</v>
      </c>
      <c r="F122" t="inlineStr">
        <is>
          <t>VÄSTERBOTTENS LÄN</t>
        </is>
      </c>
      <c r="G122" t="inlineStr">
        <is>
          <t>MALÅ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46261</v>
      </c>
      <c r="F123" t="inlineStr">
        <is>
          <t>VÄSTERBOTTENS LÄN</t>
        </is>
      </c>
      <c r="G123" t="inlineStr">
        <is>
          <t>MALÅ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45139</v>
      </c>
      <c r="E124" s="1" t="n">
        <v>46261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20234-2023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45054</v>
      </c>
      <c r="E125" s="1" t="n">
        <v>46261</v>
      </c>
      <c r="F125" t="inlineStr">
        <is>
          <t>VÄSTERBOTTENS LÄN</t>
        </is>
      </c>
      <c r="G125" t="inlineStr">
        <is>
          <t>MALÅ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46261</v>
      </c>
      <c r="F126" t="inlineStr">
        <is>
          <t>VÄSTERBOTTENS LÄN</t>
        </is>
      </c>
      <c r="G126" t="inlineStr">
        <is>
          <t>MALÅ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45973</v>
      </c>
      <c r="E127" s="1" t="n">
        <v>46261</v>
      </c>
      <c r="F127" t="inlineStr">
        <is>
          <t>VÄSTERBOTTENS LÄN</t>
        </is>
      </c>
      <c r="G127" t="inlineStr">
        <is>
          <t>MALÅ</t>
        </is>
      </c>
      <c r="I127" t="n">
        <v>20.7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58894-2025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45987</v>
      </c>
      <c r="E128" s="1" t="n">
        <v>46261</v>
      </c>
      <c r="F128" t="inlineStr">
        <is>
          <t>VÄSTERBOTTENS LÄN</t>
        </is>
      </c>
      <c r="G128" t="inlineStr">
        <is>
          <t>MALÅ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45987</v>
      </c>
      <c r="E129" s="1" t="n">
        <v>46261</v>
      </c>
      <c r="F129" t="inlineStr">
        <is>
          <t>VÄSTERBOTTENS LÄN</t>
        </is>
      </c>
      <c r="G129" t="inlineStr">
        <is>
          <t>MALÅ</t>
        </is>
      </c>
      <c r="I129" t="n">
        <v>19.2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46261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45989</v>
      </c>
      <c r="E131" s="1" t="n">
        <v>46261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46261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18.7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46261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46261</v>
      </c>
      <c r="F134" t="inlineStr">
        <is>
          <t>VÄSTERBOTTENS LÄN</t>
        </is>
      </c>
      <c r="G134" t="inlineStr">
        <is>
          <t>MALÅ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46261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46261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46261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45999</v>
      </c>
      <c r="E138" s="1" t="n">
        <v>46261</v>
      </c>
      <c r="F138" t="inlineStr">
        <is>
          <t>VÄSTERBOTTENS LÄN</t>
        </is>
      </c>
      <c r="G138" t="inlineStr">
        <is>
          <t>MALÅ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45154</v>
      </c>
      <c r="E139" s="1" t="n">
        <v>46261</v>
      </c>
      <c r="F139" t="inlineStr">
        <is>
          <t>VÄSTERBOTTENS LÄN</t>
        </is>
      </c>
      <c r="G139" t="inlineStr">
        <is>
          <t>MALÅ</t>
        </is>
      </c>
      <c r="I139" t="n">
        <v>73.7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46261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46261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11.3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46261</v>
      </c>
      <c r="F142" t="inlineStr">
        <is>
          <t>VÄSTERBOTTENS LÄN</t>
        </is>
      </c>
      <c r="G142" t="inlineStr">
        <is>
          <t>MALÅ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45167</v>
      </c>
      <c r="E143" s="1" t="n">
        <v>46261</v>
      </c>
      <c r="F143" t="inlineStr">
        <is>
          <t>VÄSTERBOTTENS LÄN</t>
        </is>
      </c>
      <c r="G143" t="inlineStr">
        <is>
          <t>MALÅ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46261</v>
      </c>
      <c r="F144" t="inlineStr">
        <is>
          <t>VÄSTERBOTTENS LÄN</t>
        </is>
      </c>
      <c r="G144" t="inlineStr">
        <is>
          <t>MALÅ</t>
        </is>
      </c>
      <c r="I144" t="n">
        <v>19.5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46261</v>
      </c>
      <c r="F145" t="inlineStr">
        <is>
          <t>VÄSTERBOTTENS LÄN</t>
        </is>
      </c>
      <c r="G145" t="inlineStr">
        <is>
          <t>MALÅ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46261</v>
      </c>
      <c r="F146" t="inlineStr">
        <is>
          <t>VÄSTERBOTTENS LÄN</t>
        </is>
      </c>
      <c r="G146" t="inlineStr">
        <is>
          <t>MALÅ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45174</v>
      </c>
      <c r="E147" s="1" t="n">
        <v>46261</v>
      </c>
      <c r="F147" t="inlineStr">
        <is>
          <t>VÄSTERBOTTENS LÄN</t>
        </is>
      </c>
      <c r="G147" t="inlineStr">
        <is>
          <t>MALÅ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  <c r="Z147">
        <f>HYPERLINK("https://klasma.github.io/Logging_2418/knärot/A 41353-2023 karta knärot.png", "A 41353-2023")</f>
        <v/>
      </c>
      <c r="AA147">
        <f>HYPERLINK("https://klasma.github.io/Logging_2418/klagomål/A 41353-2023 FSC-klagomål.docx", "A 41353-2023")</f>
        <v/>
      </c>
      <c r="AB147">
        <f>HYPERLINK("https://klasma.github.io/Logging_2418/klagomålsmail/A 41353-2023 FSC-klagomål mail.docx", "A 41353-2023")</f>
        <v/>
      </c>
      <c r="AC147">
        <f>HYPERLINK("https://klasma.github.io/Logging_2418/tillsyn/A 41353-2023 tillsynsbegäran.docx", "A 41353-2023")</f>
        <v/>
      </c>
      <c r="AD147">
        <f>HYPERLINK("https://klasma.github.io/Logging_2418/tillsynsmail/A 41353-2023 tillsynsbegäran mail.docx", "A 41353-2023")</f>
        <v/>
      </c>
    </row>
    <row r="148" ht="15" customHeight="1">
      <c r="A148" t="inlineStr">
        <is>
          <t>A 51308-2023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46261</v>
      </c>
      <c r="F148" t="inlineStr">
        <is>
          <t>VÄSTERBOTTENS LÄN</t>
        </is>
      </c>
      <c r="G148" t="inlineStr">
        <is>
          <t>MALÅ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46261</v>
      </c>
      <c r="F149" t="inlineStr">
        <is>
          <t>VÄSTERBOTTENS LÄN</t>
        </is>
      </c>
      <c r="G149" t="inlineStr">
        <is>
          <t>MALÅ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45154</v>
      </c>
      <c r="E150" s="1" t="n">
        <v>46261</v>
      </c>
      <c r="F150" t="inlineStr">
        <is>
          <t>VÄSTERBOTTENS LÄN</t>
        </is>
      </c>
      <c r="G150" t="inlineStr">
        <is>
          <t>MALÅ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45176</v>
      </c>
      <c r="E151" s="1" t="n">
        <v>46261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46261</v>
      </c>
      <c r="F152" t="inlineStr">
        <is>
          <t>VÄSTERBOTTENS LÄN</t>
        </is>
      </c>
      <c r="G152" t="inlineStr">
        <is>
          <t>MALÅ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46261</v>
      </c>
      <c r="F153" t="inlineStr">
        <is>
          <t>VÄSTERBOTTENS LÄN</t>
        </is>
      </c>
      <c r="G153" t="inlineStr">
        <is>
          <t>MALÅ</t>
        </is>
      </c>
      <c r="I153" t="n">
        <v>9.300000000000001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11824-2023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46261</v>
      </c>
      <c r="F154" t="inlineStr">
        <is>
          <t>VÄSTERBOTTENS LÄN</t>
        </is>
      </c>
      <c r="G154" t="inlineStr">
        <is>
          <t>MALÅ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45238</v>
      </c>
      <c r="E155" s="1" t="n">
        <v>46261</v>
      </c>
      <c r="F155" t="inlineStr">
        <is>
          <t>VÄSTERBOTTENS LÄN</t>
        </is>
      </c>
      <c r="G155" t="inlineStr">
        <is>
          <t>MALÅ</t>
        </is>
      </c>
      <c r="H155" t="inlineStr">
        <is>
          <t>SCA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46261</v>
      </c>
      <c r="F156" t="inlineStr">
        <is>
          <t>VÄSTERBOTTENS LÄN</t>
        </is>
      </c>
      <c r="G156" t="inlineStr">
        <is>
          <t>MALÅ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49434-2023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45211</v>
      </c>
      <c r="E157" s="1" t="n">
        <v>46261</v>
      </c>
      <c r="F157" t="inlineStr">
        <is>
          <t>VÄSTERBOTTENS LÄN</t>
        </is>
      </c>
      <c r="G157" t="inlineStr">
        <is>
          <t>MALÅ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45694</v>
      </c>
      <c r="E158" s="1" t="n">
        <v>46261</v>
      </c>
      <c r="F158" t="inlineStr">
        <is>
          <t>VÄSTERBOTTENS LÄN</t>
        </is>
      </c>
      <c r="G158" t="inlineStr">
        <is>
          <t>MALÅ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34353-2022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44792</v>
      </c>
      <c r="E159" s="1" t="n">
        <v>46261</v>
      </c>
      <c r="F159" t="inlineStr">
        <is>
          <t>VÄSTERBOTTENS LÄN</t>
        </is>
      </c>
      <c r="G159" t="inlineStr">
        <is>
          <t>MALÅ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59866-2021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44491</v>
      </c>
      <c r="E160" s="1" t="n">
        <v>46261</v>
      </c>
      <c r="F160" t="inlineStr">
        <is>
          <t>VÄSTERBOTTENS LÄN</t>
        </is>
      </c>
      <c r="G160" t="inlineStr">
        <is>
          <t>MALÅ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60520-2024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46261</v>
      </c>
      <c r="F161" t="inlineStr">
        <is>
          <t>VÄSTERBOTTENS LÄN</t>
        </is>
      </c>
      <c r="G161" t="inlineStr">
        <is>
          <t>MALÅ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46261</v>
      </c>
      <c r="F162" t="inlineStr">
        <is>
          <t>VÄSTERBOTTENS LÄN</t>
        </is>
      </c>
      <c r="G162" t="inlineStr">
        <is>
          <t>MALÅ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41672-2025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46261</v>
      </c>
      <c r="F163" t="inlineStr">
        <is>
          <t>VÄSTERBOTTENS LÄN</t>
        </is>
      </c>
      <c r="G163" t="inlineStr">
        <is>
          <t>MALÅ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45201</v>
      </c>
      <c r="E164" s="1" t="n">
        <v>46261</v>
      </c>
      <c r="F164" t="inlineStr">
        <is>
          <t>VÄSTERBOTTENS LÄN</t>
        </is>
      </c>
      <c r="G164" t="inlineStr">
        <is>
          <t>MALÅ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46261</v>
      </c>
      <c r="F165" t="inlineStr">
        <is>
          <t>VÄSTERBOTTENS LÄN</t>
        </is>
      </c>
      <c r="G165" t="inlineStr">
        <is>
          <t>MALÅ</t>
        </is>
      </c>
      <c r="I165" t="n">
        <v>15.7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46261</v>
      </c>
      <c r="F166" t="inlineStr">
        <is>
          <t>VÄSTERBOTTENS LÄN</t>
        </is>
      </c>
      <c r="G166" t="inlineStr">
        <is>
          <t>MALÅ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45178</v>
      </c>
      <c r="E167" s="1" t="n">
        <v>46261</v>
      </c>
      <c r="F167" t="inlineStr">
        <is>
          <t>VÄSTERBOTTENS LÄN</t>
        </is>
      </c>
      <c r="G167" t="inlineStr">
        <is>
          <t>MALÅ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32769-2024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45516</v>
      </c>
      <c r="E168" s="1" t="n">
        <v>46261</v>
      </c>
      <c r="F168" t="inlineStr">
        <is>
          <t>VÄSTERBOTTENS LÄN</t>
        </is>
      </c>
      <c r="G168" t="inlineStr">
        <is>
          <t>MALÅ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13001-2023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45002</v>
      </c>
      <c r="E169" s="1" t="n">
        <v>46261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45639</v>
      </c>
      <c r="E170" s="1" t="n">
        <v>46261</v>
      </c>
      <c r="F170" t="inlineStr">
        <is>
          <t>VÄSTERBOTTENS LÄN</t>
        </is>
      </c>
      <c r="G170" t="inlineStr">
        <is>
          <t>MALÅ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45184</v>
      </c>
      <c r="E171" s="1" t="n">
        <v>46261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46261</v>
      </c>
      <c r="F172" t="inlineStr">
        <is>
          <t>VÄSTERBOTTENS LÄN</t>
        </is>
      </c>
      <c r="G172" t="inlineStr">
        <is>
          <t>MALÅ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46261</v>
      </c>
      <c r="F173" t="inlineStr">
        <is>
          <t>VÄSTERBOTTENS LÄN</t>
        </is>
      </c>
      <c r="G173" t="inlineStr">
        <is>
          <t>MALÅ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46261</v>
      </c>
      <c r="F174" t="inlineStr">
        <is>
          <t>VÄSTERBOTTENS LÄN</t>
        </is>
      </c>
      <c r="G174" t="inlineStr">
        <is>
          <t>MALÅ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61992-2024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46261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45149</v>
      </c>
      <c r="E176" s="1" t="n">
        <v>46261</v>
      </c>
      <c r="F176" t="inlineStr">
        <is>
          <t>VÄSTERBOTTENS LÄN</t>
        </is>
      </c>
      <c r="G176" t="inlineStr">
        <is>
          <t>MALÅ</t>
        </is>
      </c>
      <c r="I176" t="n">
        <v>26.9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46261</v>
      </c>
      <c r="F177" t="inlineStr">
        <is>
          <t>VÄSTERBOTTENS LÄN</t>
        </is>
      </c>
      <c r="G177" t="inlineStr">
        <is>
          <t>MALÅ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45642</v>
      </c>
      <c r="E178" s="1" t="n">
        <v>46261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45201</v>
      </c>
      <c r="E179" s="1" t="n">
        <v>46261</v>
      </c>
      <c r="F179" t="inlineStr">
        <is>
          <t>VÄSTERBOTTENS LÄN</t>
        </is>
      </c>
      <c r="G179" t="inlineStr">
        <is>
          <t>MALÅ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45022</v>
      </c>
      <c r="E180" s="1" t="n">
        <v>46261</v>
      </c>
      <c r="F180" t="inlineStr">
        <is>
          <t>VÄSTERBOTTENS LÄN</t>
        </is>
      </c>
      <c r="G180" t="inlineStr">
        <is>
          <t>MALÅ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45022</v>
      </c>
      <c r="E181" s="1" t="n">
        <v>46261</v>
      </c>
      <c r="F181" t="inlineStr">
        <is>
          <t>VÄSTERBOTTENS LÄN</t>
        </is>
      </c>
      <c r="G181" t="inlineStr">
        <is>
          <t>MALÅ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46261</v>
      </c>
      <c r="F182" t="inlineStr">
        <is>
          <t>VÄSTERBOTTENS LÄN</t>
        </is>
      </c>
      <c r="G182" t="inlineStr">
        <is>
          <t>MALÅ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46223</v>
      </c>
      <c r="E183" s="1" t="n">
        <v>46261</v>
      </c>
      <c r="F183" t="inlineStr">
        <is>
          <t>VÄSTERBOTTENS LÄN</t>
        </is>
      </c>
      <c r="G183" t="inlineStr">
        <is>
          <t>MALÅ</t>
        </is>
      </c>
      <c r="H183" t="inlineStr">
        <is>
          <t>SCA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46223</v>
      </c>
      <c r="E184" s="1" t="n">
        <v>46261</v>
      </c>
      <c r="F184" t="inlineStr">
        <is>
          <t>VÄSTERBOTTENS LÄN</t>
        </is>
      </c>
      <c r="G184" t="inlineStr">
        <is>
          <t>MALÅ</t>
        </is>
      </c>
      <c r="H184" t="inlineStr">
        <is>
          <t>SCA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46183</v>
      </c>
      <c r="E185" s="1" t="n">
        <v>46261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46261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21.8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46359-2023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45193</v>
      </c>
      <c r="E187" s="1" t="n">
        <v>46261</v>
      </c>
      <c r="F187" t="inlineStr">
        <is>
          <t>VÄSTERBOTTENS LÄN</t>
        </is>
      </c>
      <c r="G187" t="inlineStr">
        <is>
          <t>MALÅ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46261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45190</v>
      </c>
      <c r="E189" s="1" t="n">
        <v>46261</v>
      </c>
      <c r="F189" t="inlineStr">
        <is>
          <t>VÄSTERBOTTENS LÄN</t>
        </is>
      </c>
      <c r="G189" t="inlineStr">
        <is>
          <t>MALÅ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45155</v>
      </c>
      <c r="E190" s="1" t="n">
        <v>46261</v>
      </c>
      <c r="F190" t="inlineStr">
        <is>
          <t>VÄSTERBOTTENS LÄN</t>
        </is>
      </c>
      <c r="G190" t="inlineStr">
        <is>
          <t>MALÅ</t>
        </is>
      </c>
      <c r="I190" t="n">
        <v>48.2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46189</v>
      </c>
      <c r="E191" s="1" t="n">
        <v>46261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9.9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46189</v>
      </c>
      <c r="E192" s="1" t="n">
        <v>46261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46189</v>
      </c>
      <c r="E193" s="1" t="n">
        <v>46261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46189</v>
      </c>
      <c r="E194" s="1" t="n">
        <v>46261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46189</v>
      </c>
      <c r="E195" s="1" t="n">
        <v>46261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46232</v>
      </c>
      <c r="E196" s="1" t="n">
        <v>46261</v>
      </c>
      <c r="F196" t="inlineStr">
        <is>
          <t>VÄSTERBOTTENS LÄN</t>
        </is>
      </c>
      <c r="G196" t="inlineStr">
        <is>
          <t>MALÅ</t>
        </is>
      </c>
      <c r="H196" t="inlineStr">
        <is>
          <t>SCA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46261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23.5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45174</v>
      </c>
      <c r="E198" s="1" t="n">
        <v>46261</v>
      </c>
      <c r="F198" t="inlineStr">
        <is>
          <t>VÄSTERBOTTENS LÄN</t>
        </is>
      </c>
      <c r="G198" t="inlineStr">
        <is>
          <t>MALÅ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46261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46261</v>
      </c>
      <c r="F200" t="inlineStr">
        <is>
          <t>VÄSTERBOTTENS LÄN</t>
        </is>
      </c>
      <c r="G200" t="inlineStr">
        <is>
          <t>MALÅ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45022</v>
      </c>
      <c r="E201" s="1" t="n">
        <v>46261</v>
      </c>
      <c r="F201" t="inlineStr">
        <is>
          <t>VÄSTERBOTTENS LÄN</t>
        </is>
      </c>
      <c r="G201" t="inlineStr">
        <is>
          <t>MALÅ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46196</v>
      </c>
      <c r="E202" s="1" t="n">
        <v>46261</v>
      </c>
      <c r="F202" t="inlineStr">
        <is>
          <t>VÄSTERBOTTENS LÄN</t>
        </is>
      </c>
      <c r="G202" t="inlineStr">
        <is>
          <t>MALÅ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54239-2022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44881</v>
      </c>
      <c r="E203" s="1" t="n">
        <v>46261</v>
      </c>
      <c r="F203" t="inlineStr">
        <is>
          <t>VÄSTERBOTTENS LÄN</t>
        </is>
      </c>
      <c r="G203" t="inlineStr">
        <is>
          <t>MALÅ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46261</v>
      </c>
      <c r="F204" t="inlineStr">
        <is>
          <t>VÄSTERBOTTENS LÄN</t>
        </is>
      </c>
      <c r="G204" t="inlineStr">
        <is>
          <t>MALÅ</t>
        </is>
      </c>
      <c r="I204" t="n">
        <v>9.1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45179</v>
      </c>
      <c r="E205" s="1" t="n">
        <v>46261</v>
      </c>
      <c r="F205" t="inlineStr">
        <is>
          <t>VÄSTERBOTTENS LÄN</t>
        </is>
      </c>
      <c r="G205" t="inlineStr">
        <is>
          <t>MALÅ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46261</v>
      </c>
      <c r="F206" t="inlineStr">
        <is>
          <t>VÄSTERBOTTENS LÄN</t>
        </is>
      </c>
      <c r="G206" t="inlineStr">
        <is>
          <t>MALÅ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46198</v>
      </c>
      <c r="E207" s="1" t="n">
        <v>46261</v>
      </c>
      <c r="F207" t="inlineStr">
        <is>
          <t>VÄSTERBOTTENS LÄN</t>
        </is>
      </c>
      <c r="G207" t="inlineStr">
        <is>
          <t>MALÅ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62124-2024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46261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46261</v>
      </c>
      <c r="F209" t="inlineStr">
        <is>
          <t>VÄSTERBOTTENS LÄN</t>
        </is>
      </c>
      <c r="G209" t="inlineStr">
        <is>
          <t>MALÅ</t>
        </is>
      </c>
      <c r="I209" t="n">
        <v>26.3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26853-2026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46185</v>
      </c>
      <c r="E210" s="1" t="n">
        <v>46261</v>
      </c>
      <c r="F210" t="inlineStr">
        <is>
          <t>VÄSTERBOTTENS LÄN</t>
        </is>
      </c>
      <c r="G210" t="inlineStr">
        <is>
          <t>MALÅ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45245</v>
      </c>
      <c r="E211" s="1" t="n">
        <v>46261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46261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37.2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33543-2026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46248</v>
      </c>
      <c r="E213" s="1" t="n">
        <v>46261</v>
      </c>
      <c r="F213" t="inlineStr">
        <is>
          <t>VÄSTERBOTTENS LÄN</t>
        </is>
      </c>
      <c r="G213" t="inlineStr">
        <is>
          <t>MALÅ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46246</v>
      </c>
      <c r="E214" s="1" t="n">
        <v>46261</v>
      </c>
      <c r="F214" t="inlineStr">
        <is>
          <t>VÄSTERBOTTENS LÄN</t>
        </is>
      </c>
      <c r="G214" t="inlineStr">
        <is>
          <t>MALÅ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46246</v>
      </c>
      <c r="E215" s="1" t="n">
        <v>46261</v>
      </c>
      <c r="F215" t="inlineStr">
        <is>
          <t>VÄSTERBOTTENS LÄN</t>
        </is>
      </c>
      <c r="G215" t="inlineStr">
        <is>
          <t>MALÅ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39794-2023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45167</v>
      </c>
      <c r="E216" s="1" t="n">
        <v>46261</v>
      </c>
      <c r="F216" t="inlineStr">
        <is>
          <t>VÄSTERBOTTENS LÄN</t>
        </is>
      </c>
      <c r="G216" t="inlineStr">
        <is>
          <t>MALÅ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45158</v>
      </c>
      <c r="E217" s="1" t="n">
        <v>46261</v>
      </c>
      <c r="F217" t="inlineStr">
        <is>
          <t>VÄSTERBOTTENS LÄN</t>
        </is>
      </c>
      <c r="G217" t="inlineStr">
        <is>
          <t>MALÅ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46251</v>
      </c>
      <c r="E218" s="1" t="n">
        <v>46261</v>
      </c>
      <c r="F218" t="inlineStr">
        <is>
          <t>VÄSTERBOTTENS LÄN</t>
        </is>
      </c>
      <c r="G218" t="inlineStr">
        <is>
          <t>MALÅ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45156</v>
      </c>
      <c r="E219" s="1" t="n">
        <v>46261</v>
      </c>
      <c r="F219" t="inlineStr">
        <is>
          <t>VÄSTERBOTTENS LÄN</t>
        </is>
      </c>
      <c r="G219" t="inlineStr">
        <is>
          <t>MALÅ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46261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30502-2026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46210</v>
      </c>
      <c r="E221" s="1" t="n">
        <v>46261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46261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46261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46261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13.7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46261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46261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46261</v>
      </c>
      <c r="F227" t="inlineStr">
        <is>
          <t>VÄSTERBOTTENS LÄN</t>
        </is>
      </c>
      <c r="G227" t="inlineStr">
        <is>
          <t>MALÅ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36425-2023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45152</v>
      </c>
      <c r="E228" s="1" t="n">
        <v>46261</v>
      </c>
      <c r="F228" t="inlineStr">
        <is>
          <t>VÄSTERBOTTENS LÄN</t>
        </is>
      </c>
      <c r="G228" t="inlineStr">
        <is>
          <t>MALÅ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46261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52795-2024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46261</v>
      </c>
      <c r="F230" t="inlineStr">
        <is>
          <t>VÄSTERBOTTENS LÄN</t>
        </is>
      </c>
      <c r="G230" t="inlineStr">
        <is>
          <t>MALÅ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45750</v>
      </c>
      <c r="E231" s="1" t="n">
        <v>46261</v>
      </c>
      <c r="F231" t="inlineStr">
        <is>
          <t>VÄSTERBOTTENS LÄN</t>
        </is>
      </c>
      <c r="G231" t="inlineStr">
        <is>
          <t>MALÅ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46260</v>
      </c>
      <c r="E232" s="1" t="n">
        <v>46261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14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46261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46261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30.8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45170</v>
      </c>
      <c r="E235" s="1" t="n">
        <v>46261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18.2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45154</v>
      </c>
      <c r="E236" s="1" t="n">
        <v>46261</v>
      </c>
      <c r="F236" t="inlineStr">
        <is>
          <t>VÄSTERBOTTENS LÄN</t>
        </is>
      </c>
      <c r="G236" t="inlineStr">
        <is>
          <t>MALÅ</t>
        </is>
      </c>
      <c r="I236" t="n">
        <v>63.5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45166</v>
      </c>
      <c r="E237" s="1" t="n">
        <v>46261</v>
      </c>
      <c r="F237" t="inlineStr">
        <is>
          <t>VÄSTERBOTTENS LÄN</t>
        </is>
      </c>
      <c r="G237" t="inlineStr">
        <is>
          <t>MALÅ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46261</v>
      </c>
      <c r="F238" t="inlineStr">
        <is>
          <t>VÄSTERBOTTENS LÄN</t>
        </is>
      </c>
      <c r="G238" t="inlineStr">
        <is>
          <t>MALÅ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45201</v>
      </c>
      <c r="E239" s="1" t="n">
        <v>46261</v>
      </c>
      <c r="F239" t="inlineStr">
        <is>
          <t>VÄSTERBOTTENS LÄN</t>
        </is>
      </c>
      <c r="G239" t="inlineStr">
        <is>
          <t>MALÅ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45642</v>
      </c>
      <c r="E240" s="1" t="n">
        <v>46261</v>
      </c>
      <c r="F240" t="inlineStr">
        <is>
          <t>VÄSTERBOTTENS LÄN</t>
        </is>
      </c>
      <c r="G240" t="inlineStr">
        <is>
          <t>MALÅ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46261</v>
      </c>
      <c r="F241" t="inlineStr">
        <is>
          <t>VÄSTERBOTTENS LÄN</t>
        </is>
      </c>
      <c r="G241" t="inlineStr">
        <is>
          <t>MALÅ</t>
        </is>
      </c>
      <c r="I241" t="n">
        <v>17.5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43952-2023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46261</v>
      </c>
      <c r="F242" t="inlineStr">
        <is>
          <t>VÄSTERBOTTENS LÄN</t>
        </is>
      </c>
      <c r="G242" t="inlineStr">
        <is>
          <t>MALÅ</t>
        </is>
      </c>
      <c r="H242" t="inlineStr">
        <is>
          <t>SCA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46261</v>
      </c>
      <c r="F243" t="inlineStr">
        <is>
          <t>VÄSTERBOTTENS LÄN</t>
        </is>
      </c>
      <c r="G243" t="inlineStr">
        <is>
          <t>MALÅ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45152</v>
      </c>
      <c r="E244" s="1" t="n">
        <v>46261</v>
      </c>
      <c r="F244" t="inlineStr">
        <is>
          <t>VÄSTERBOTTENS LÄN</t>
        </is>
      </c>
      <c r="G244" t="inlineStr">
        <is>
          <t>MALÅ</t>
        </is>
      </c>
      <c r="I244" t="n">
        <v>13.3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46261</v>
      </c>
      <c r="F245" t="inlineStr">
        <is>
          <t>VÄSTERBOTTENS LÄN</t>
        </is>
      </c>
      <c r="G245" t="inlineStr">
        <is>
          <t>MALÅ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46261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25.9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40607-2023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46261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14.7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45601</v>
      </c>
      <c r="E248" s="1" t="n">
        <v>46261</v>
      </c>
      <c r="F248" t="inlineStr">
        <is>
          <t>VÄSTERBOTTENS LÄN</t>
        </is>
      </c>
      <c r="G248" t="inlineStr">
        <is>
          <t>MALÅ</t>
        </is>
      </c>
      <c r="H248" t="inlineStr">
        <is>
          <t>SCA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45645</v>
      </c>
      <c r="E249" s="1" t="n">
        <v>46261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45101-2023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45190</v>
      </c>
      <c r="E250" s="1" t="n">
        <v>46261</v>
      </c>
      <c r="F250" t="inlineStr">
        <is>
          <t>VÄSTERBOTTENS LÄN</t>
        </is>
      </c>
      <c r="G250" t="inlineStr">
        <is>
          <t>MALÅ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45153</v>
      </c>
      <c r="E251" s="1" t="n">
        <v>46261</v>
      </c>
      <c r="F251" t="inlineStr">
        <is>
          <t>VÄSTERBOTTENS LÄN</t>
        </is>
      </c>
      <c r="G251" t="inlineStr">
        <is>
          <t>MALÅ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36747-2023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45153</v>
      </c>
      <c r="E252" s="1" t="n">
        <v>46261</v>
      </c>
      <c r="F252" t="inlineStr">
        <is>
          <t>VÄSTERBOTTENS LÄN</t>
        </is>
      </c>
      <c r="G252" t="inlineStr">
        <is>
          <t>MALÅ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45193</v>
      </c>
      <c r="E253" s="1" t="n">
        <v>46261</v>
      </c>
      <c r="F253" t="inlineStr">
        <is>
          <t>VÄSTERBOTTENS LÄN</t>
        </is>
      </c>
      <c r="G253" t="inlineStr">
        <is>
          <t>MALÅ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45193</v>
      </c>
      <c r="E254" s="1" t="n">
        <v>46261</v>
      </c>
      <c r="F254" t="inlineStr">
        <is>
          <t>VÄSTERBOTTENS LÄN</t>
        </is>
      </c>
      <c r="G254" t="inlineStr">
        <is>
          <t>MALÅ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46261</v>
      </c>
      <c r="F255" t="inlineStr">
        <is>
          <t>VÄSTERBOTTENS LÄN</t>
        </is>
      </c>
      <c r="G255" t="inlineStr">
        <is>
          <t>MALÅ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46261</v>
      </c>
      <c r="F256" t="inlineStr">
        <is>
          <t>VÄSTERBOTTENS LÄN</t>
        </is>
      </c>
      <c r="G256" t="inlineStr">
        <is>
          <t>MALÅ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45182</v>
      </c>
      <c r="E257" s="1" t="n">
        <v>46261</v>
      </c>
      <c r="F257" t="inlineStr">
        <is>
          <t>VÄSTERBOTTENS LÄN</t>
        </is>
      </c>
      <c r="G257" t="inlineStr">
        <is>
          <t>MALÅ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46261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46261</v>
      </c>
      <c r="F259" t="inlineStr">
        <is>
          <t>VÄSTERBOTTENS LÄN</t>
        </is>
      </c>
      <c r="G259" t="inlineStr">
        <is>
          <t>MALÅ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45744-2023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45193</v>
      </c>
      <c r="E260" s="1" t="n">
        <v>46261</v>
      </c>
      <c r="F260" t="inlineStr">
        <is>
          <t>VÄSTERBOTTENS LÄN</t>
        </is>
      </c>
      <c r="G260" t="inlineStr">
        <is>
          <t>MALÅ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45625</v>
      </c>
      <c r="E261" s="1" t="n">
        <v>46261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45148</v>
      </c>
      <c r="E262" s="1" t="n">
        <v>46261</v>
      </c>
      <c r="F262" t="inlineStr">
        <is>
          <t>VÄSTERBOTTENS LÄN</t>
        </is>
      </c>
      <c r="G262" t="inlineStr">
        <is>
          <t>MALÅ</t>
        </is>
      </c>
      <c r="I262" t="n">
        <v>16.2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45195</v>
      </c>
      <c r="E263" s="1" t="n">
        <v>46261</v>
      </c>
      <c r="F263" t="inlineStr">
        <is>
          <t>VÄSTERBOTTENS LÄN</t>
        </is>
      </c>
      <c r="G263" t="inlineStr">
        <is>
          <t>MALÅ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46261</v>
      </c>
      <c r="F264" t="inlineStr">
        <is>
          <t>VÄSTERBOTTENS LÄN</t>
        </is>
      </c>
      <c r="G264" t="inlineStr">
        <is>
          <t>MALÅ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45201</v>
      </c>
      <c r="E265" s="1" t="n">
        <v>46261</v>
      </c>
      <c r="F265" t="inlineStr">
        <is>
          <t>VÄSTERBOTTENS LÄN</t>
        </is>
      </c>
      <c r="G265" t="inlineStr">
        <is>
          <t>MALÅ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45700</v>
      </c>
      <c r="E266" s="1" t="n">
        <v>46261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10.2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32767-2024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45516</v>
      </c>
      <c r="E267" s="1" t="n">
        <v>46261</v>
      </c>
      <c r="F267" t="inlineStr">
        <is>
          <t>VÄSTERBOTTENS LÄN</t>
        </is>
      </c>
      <c r="G267" t="inlineStr">
        <is>
          <t>MALÅ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46261</v>
      </c>
      <c r="F268" t="inlineStr">
        <is>
          <t>VÄSTERBOTTENS LÄN</t>
        </is>
      </c>
      <c r="G268" t="inlineStr">
        <is>
          <t>MALÅ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46261</v>
      </c>
      <c r="F269" t="inlineStr">
        <is>
          <t>VÄSTERBOTTENS LÄN</t>
        </is>
      </c>
      <c r="G269" t="inlineStr">
        <is>
          <t>MALÅ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45223</v>
      </c>
      <c r="E270" s="1" t="n">
        <v>46261</v>
      </c>
      <c r="F270" t="inlineStr">
        <is>
          <t>VÄSTERBOTTENS LÄN</t>
        </is>
      </c>
      <c r="G270" t="inlineStr">
        <is>
          <t>MALÅ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46261</v>
      </c>
      <c r="F271" t="inlineStr">
        <is>
          <t>VÄSTERBOTTENS LÄN</t>
        </is>
      </c>
      <c r="G271" t="inlineStr">
        <is>
          <t>MALÅ</t>
        </is>
      </c>
      <c r="I271" t="n">
        <v>10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46261</v>
      </c>
      <c r="F272" t="inlineStr">
        <is>
          <t>VÄSTERBOTTENS LÄN</t>
        </is>
      </c>
      <c r="G272" t="inlineStr">
        <is>
          <t>MALÅ</t>
        </is>
      </c>
      <c r="H272" t="inlineStr">
        <is>
          <t>Kyrkan</t>
        </is>
      </c>
      <c r="I272" t="n">
        <v>27.3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46261</v>
      </c>
      <c r="F273" t="inlineStr">
        <is>
          <t>VÄSTERBOTTENS LÄN</t>
        </is>
      </c>
      <c r="G273" t="inlineStr">
        <is>
          <t>MALÅ</t>
        </is>
      </c>
      <c r="H273" t="inlineStr">
        <is>
          <t>Kyrkan</t>
        </is>
      </c>
      <c r="I273" t="n">
        <v>84.5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38999-2023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45162</v>
      </c>
      <c r="E274" s="1" t="n">
        <v>46261</v>
      </c>
      <c r="F274" t="inlineStr">
        <is>
          <t>VÄSTERBOTTENS LÄN</t>
        </is>
      </c>
      <c r="G274" t="inlineStr">
        <is>
          <t>MALÅ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45225</v>
      </c>
      <c r="E275" s="1" t="n">
        <v>46261</v>
      </c>
      <c r="F275" t="inlineStr">
        <is>
          <t>VÄSTERBOTTENS LÄN</t>
        </is>
      </c>
      <c r="G275" t="inlineStr">
        <is>
          <t>MALÅ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41852-2023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45174</v>
      </c>
      <c r="E276" s="1" t="n">
        <v>46261</v>
      </c>
      <c r="F276" t="inlineStr">
        <is>
          <t>VÄSTERBOTTENS LÄN</t>
        </is>
      </c>
      <c r="G276" t="inlineStr">
        <is>
          <t>MALÅ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45149</v>
      </c>
      <c r="E277" s="1" t="n">
        <v>46261</v>
      </c>
      <c r="F277" t="inlineStr">
        <is>
          <t>VÄSTERBOTTENS LÄN</t>
        </is>
      </c>
      <c r="G277" t="inlineStr">
        <is>
          <t>MALÅ</t>
        </is>
      </c>
      <c r="I277" t="n">
        <v>147.1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48572-2023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45202</v>
      </c>
      <c r="E278" s="1" t="n">
        <v>46261</v>
      </c>
      <c r="F278" t="inlineStr">
        <is>
          <t>VÄSTERBOTTENS LÄN</t>
        </is>
      </c>
      <c r="G278" t="inlineStr">
        <is>
          <t>MALÅ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45229</v>
      </c>
      <c r="E279" s="1" t="n">
        <v>46261</v>
      </c>
      <c r="F279" t="inlineStr">
        <is>
          <t>VÄSTERBOTTENS LÄN</t>
        </is>
      </c>
      <c r="G279" t="inlineStr">
        <is>
          <t>MALÅ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14461-2025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45741</v>
      </c>
      <c r="E280" s="1" t="n">
        <v>46261</v>
      </c>
      <c r="F280" t="inlineStr">
        <is>
          <t>VÄSTERBOTTENS LÄN</t>
        </is>
      </c>
      <c r="G280" t="inlineStr">
        <is>
          <t>MALÅ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62284-2023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45267</v>
      </c>
      <c r="E281" s="1" t="n">
        <v>46261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45369</v>
      </c>
      <c r="E282" s="1" t="n">
        <v>46261</v>
      </c>
      <c r="F282" t="inlineStr">
        <is>
          <t>VÄSTERBOTTENS LÄN</t>
        </is>
      </c>
      <c r="G282" t="inlineStr">
        <is>
          <t>MALÅ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45694</v>
      </c>
      <c r="E283" s="1" t="n">
        <v>46261</v>
      </c>
      <c r="F283" t="inlineStr">
        <is>
          <t>VÄSTERBOTTENS LÄN</t>
        </is>
      </c>
      <c r="G283" t="inlineStr">
        <is>
          <t>MALÅ</t>
        </is>
      </c>
      <c r="H283" t="inlineStr">
        <is>
          <t>SCA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44575</v>
      </c>
      <c r="E284" s="1" t="n">
        <v>46261</v>
      </c>
      <c r="F284" t="inlineStr">
        <is>
          <t>VÄSTERBOTTENS LÄN</t>
        </is>
      </c>
      <c r="G284" t="inlineStr">
        <is>
          <t>MALÅ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45180</v>
      </c>
      <c r="E285" s="1" t="n">
        <v>46261</v>
      </c>
      <c r="F285" t="inlineStr">
        <is>
          <t>VÄSTERBOTTENS LÄN</t>
        </is>
      </c>
      <c r="G285" t="inlineStr">
        <is>
          <t>MALÅ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44967</v>
      </c>
      <c r="E286" s="1" t="n">
        <v>46261</v>
      </c>
      <c r="F286" t="inlineStr">
        <is>
          <t>VÄSTERBOTTENS LÄN</t>
        </is>
      </c>
      <c r="G286" t="inlineStr">
        <is>
          <t>MALÅ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45167</v>
      </c>
      <c r="E287" s="1" t="n">
        <v>46261</v>
      </c>
      <c r="F287" t="inlineStr">
        <is>
          <t>VÄSTERBOTTENS LÄN</t>
        </is>
      </c>
      <c r="G287" t="inlineStr">
        <is>
          <t>MALÅ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46261</v>
      </c>
      <c r="F288" t="inlineStr">
        <is>
          <t>VÄSTERBOTTENS LÄN</t>
        </is>
      </c>
      <c r="G288" t="inlineStr">
        <is>
          <t>MALÅ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46261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46261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46261</v>
      </c>
      <c r="F291" t="inlineStr">
        <is>
          <t>VÄSTERBOTTENS LÄN</t>
        </is>
      </c>
      <c r="G291" t="inlineStr">
        <is>
          <t>MALÅ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45166</v>
      </c>
      <c r="E292" s="1" t="n">
        <v>46261</v>
      </c>
      <c r="F292" t="inlineStr">
        <is>
          <t>VÄSTERBOTTENS LÄN</t>
        </is>
      </c>
      <c r="G292" t="inlineStr">
        <is>
          <t>MALÅ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46261</v>
      </c>
      <c r="F293" t="inlineStr">
        <is>
          <t>VÄSTERBOTTENS LÄN</t>
        </is>
      </c>
      <c r="G293" t="inlineStr">
        <is>
          <t>MALÅ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68036-2021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44525</v>
      </c>
      <c r="E294" s="1" t="n">
        <v>46261</v>
      </c>
      <c r="F294" t="inlineStr">
        <is>
          <t>VÄSTERBOTTENS LÄN</t>
        </is>
      </c>
      <c r="G294" t="inlineStr">
        <is>
          <t>MALÅ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45540</v>
      </c>
      <c r="E295" s="1" t="n">
        <v>46261</v>
      </c>
      <c r="F295" t="inlineStr">
        <is>
          <t>VÄSTERBOTTENS LÄN</t>
        </is>
      </c>
      <c r="G295" t="inlineStr">
        <is>
          <t>MALÅ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45158</v>
      </c>
      <c r="E296" s="1" t="n">
        <v>46261</v>
      </c>
      <c r="F296" t="inlineStr">
        <is>
          <t>VÄSTERBOTTENS LÄN</t>
        </is>
      </c>
      <c r="G296" t="inlineStr">
        <is>
          <t>MALÅ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46261</v>
      </c>
      <c r="F297" t="inlineStr">
        <is>
          <t>VÄSTERBOTTENS LÄN</t>
        </is>
      </c>
      <c r="G297" t="inlineStr">
        <is>
          <t>MALÅ</t>
        </is>
      </c>
      <c r="I297" t="n">
        <v>41.2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46066-2021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44441</v>
      </c>
      <c r="E298" s="1" t="n">
        <v>46261</v>
      </c>
      <c r="F298" t="inlineStr">
        <is>
          <t>VÄSTERBOTTENS LÄN</t>
        </is>
      </c>
      <c r="G298" t="inlineStr">
        <is>
          <t>MALÅ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44641</v>
      </c>
      <c r="E299" s="1" t="n">
        <v>46261</v>
      </c>
      <c r="F299" t="inlineStr">
        <is>
          <t>VÄSTERBOTTENS LÄN</t>
        </is>
      </c>
      <c r="G299" t="inlineStr">
        <is>
          <t>MALÅ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45170</v>
      </c>
      <c r="E300" s="1" t="n">
        <v>46261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23.4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45736</v>
      </c>
      <c r="E301" s="1" t="n">
        <v>46261</v>
      </c>
      <c r="F301" t="inlineStr">
        <is>
          <t>VÄSTERBOTTENS LÄN</t>
        </is>
      </c>
      <c r="G301" t="inlineStr">
        <is>
          <t>MALÅ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45171</v>
      </c>
      <c r="E302" s="1" t="n">
        <v>46261</v>
      </c>
      <c r="F302" t="inlineStr">
        <is>
          <t>VÄSTERBOTTENS LÄN</t>
        </is>
      </c>
      <c r="G302" t="inlineStr">
        <is>
          <t>MALÅ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45184</v>
      </c>
      <c r="E303" s="1" t="n">
        <v>46261</v>
      </c>
      <c r="F303" t="inlineStr">
        <is>
          <t>VÄSTERBOTTENS LÄN</t>
        </is>
      </c>
      <c r="G303" t="inlineStr">
        <is>
          <t>MALÅ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46261</v>
      </c>
      <c r="F304" t="inlineStr">
        <is>
          <t>VÄSTERBOTTENS LÄN</t>
        </is>
      </c>
      <c r="G304" t="inlineStr">
        <is>
          <t>MALÅ</t>
        </is>
      </c>
      <c r="I304" t="n">
        <v>27.9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46261</v>
      </c>
      <c r="F305" t="inlineStr">
        <is>
          <t>VÄSTERBOTTENS LÄN</t>
        </is>
      </c>
      <c r="G305" t="inlineStr">
        <is>
          <t>MALÅ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45660</v>
      </c>
      <c r="E306" s="1" t="n">
        <v>46261</v>
      </c>
      <c r="F306" t="inlineStr">
        <is>
          <t>VÄSTERBOTTENS LÄN</t>
        </is>
      </c>
      <c r="G306" t="inlineStr">
        <is>
          <t>MALÅ</t>
        </is>
      </c>
      <c r="I306" t="n">
        <v>8.9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45236</v>
      </c>
      <c r="E307" s="1" t="n">
        <v>46261</v>
      </c>
      <c r="F307" t="inlineStr">
        <is>
          <t>VÄSTERBOTTENS LÄN</t>
        </is>
      </c>
      <c r="G307" t="inlineStr">
        <is>
          <t>MALÅ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46261</v>
      </c>
      <c r="F308" t="inlineStr">
        <is>
          <t>VÄSTERBOTTENS LÄN</t>
        </is>
      </c>
      <c r="G308" t="inlineStr">
        <is>
          <t>MALÅ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45210</v>
      </c>
      <c r="E309" s="1" t="n">
        <v>46261</v>
      </c>
      <c r="F309" t="inlineStr">
        <is>
          <t>VÄSTERBOTTENS LÄN</t>
        </is>
      </c>
      <c r="G309" t="inlineStr">
        <is>
          <t>MALÅ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45154</v>
      </c>
      <c r="E310" s="1" t="n">
        <v>46261</v>
      </c>
      <c r="F310" t="inlineStr">
        <is>
          <t>VÄSTERBOTTENS LÄN</t>
        </is>
      </c>
      <c r="G310" t="inlineStr">
        <is>
          <t>MALÅ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44426-2023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45188</v>
      </c>
      <c r="E311" s="1" t="n">
        <v>46261</v>
      </c>
      <c r="F311" t="inlineStr">
        <is>
          <t>VÄSTERBOTTENS LÄN</t>
        </is>
      </c>
      <c r="G311" t="inlineStr">
        <is>
          <t>MALÅ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45176</v>
      </c>
      <c r="E312" s="1" t="n">
        <v>46261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45166</v>
      </c>
      <c r="E313" s="1" t="n">
        <v>46261</v>
      </c>
      <c r="F313" t="inlineStr">
        <is>
          <t>VÄSTERBOTTENS LÄN</t>
        </is>
      </c>
      <c r="G313" t="inlineStr">
        <is>
          <t>MALÅ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45638</v>
      </c>
      <c r="E314" s="1" t="n">
        <v>46261</v>
      </c>
      <c r="F314" t="inlineStr">
        <is>
          <t>VÄSTERBOTTENS LÄN</t>
        </is>
      </c>
      <c r="G314" t="inlineStr">
        <is>
          <t>MALÅ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67679-2021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44524</v>
      </c>
      <c r="E315" s="1" t="n">
        <v>46261</v>
      </c>
      <c r="F315" t="inlineStr">
        <is>
          <t>VÄSTERBOTTENS LÄN</t>
        </is>
      </c>
      <c r="G315" t="inlineStr">
        <is>
          <t>MALÅ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40588-2023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46261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56638-2024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45625</v>
      </c>
      <c r="E317" s="1" t="n">
        <v>46261</v>
      </c>
      <c r="F317" t="inlineStr">
        <is>
          <t>VÄSTERBOTTENS LÄN</t>
        </is>
      </c>
      <c r="G317" t="inlineStr">
        <is>
          <t>MALÅ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46261</v>
      </c>
      <c r="F318" t="inlineStr">
        <is>
          <t>VÄSTERBOTTENS LÄN</t>
        </is>
      </c>
      <c r="G318" t="inlineStr">
        <is>
          <t>MALÅ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46261</v>
      </c>
      <c r="F319" t="inlineStr">
        <is>
          <t>VÄSTERBOTTENS LÄN</t>
        </is>
      </c>
      <c r="G319" t="inlineStr">
        <is>
          <t>MALÅ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46261</v>
      </c>
      <c r="F320" t="inlineStr">
        <is>
          <t>VÄSTERBOTTENS LÄN</t>
        </is>
      </c>
      <c r="G320" t="inlineStr">
        <is>
          <t>MALÅ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46261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49226-2024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46261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37181-2023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45154</v>
      </c>
      <c r="E323" s="1" t="n">
        <v>46261</v>
      </c>
      <c r="F323" t="inlineStr">
        <is>
          <t>VÄSTERBOTTENS LÄN</t>
        </is>
      </c>
      <c r="G323" t="inlineStr">
        <is>
          <t>MALÅ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54437-2023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45233</v>
      </c>
      <c r="E324" s="1" t="n">
        <v>46261</v>
      </c>
      <c r="F324" t="inlineStr">
        <is>
          <t>VÄSTERBOTTENS LÄN</t>
        </is>
      </c>
      <c r="G324" t="inlineStr">
        <is>
          <t>MALÅ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45178</v>
      </c>
      <c r="E325" s="1" t="n">
        <v>46261</v>
      </c>
      <c r="F325" t="inlineStr">
        <is>
          <t>VÄSTERBOTTENS LÄN</t>
        </is>
      </c>
      <c r="G325" t="inlineStr">
        <is>
          <t>MALÅ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45203</v>
      </c>
      <c r="E326" s="1" t="n">
        <v>46261</v>
      </c>
      <c r="F326" t="inlineStr">
        <is>
          <t>VÄSTERBOTTENS LÄN</t>
        </is>
      </c>
      <c r="G326" t="inlineStr">
        <is>
          <t>MALÅ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49835-2023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46261</v>
      </c>
      <c r="F327" t="inlineStr">
        <is>
          <t>VÄSTERBOTTENS LÄN</t>
        </is>
      </c>
      <c r="G327" t="inlineStr">
        <is>
          <t>MALÅ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55507-2024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45622</v>
      </c>
      <c r="E328" s="1" t="n">
        <v>46261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45227</v>
      </c>
      <c r="E329" s="1" t="n">
        <v>46261</v>
      </c>
      <c r="F329" t="inlineStr">
        <is>
          <t>VÄSTERBOTTENS LÄN</t>
        </is>
      </c>
      <c r="G329" t="inlineStr">
        <is>
          <t>MALÅ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46261</v>
      </c>
      <c r="F330" t="inlineStr">
        <is>
          <t>VÄSTERBOTTENS LÄN</t>
        </is>
      </c>
      <c r="G330" t="inlineStr">
        <is>
          <t>MALÅ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45219</v>
      </c>
      <c r="E331" s="1" t="n">
        <v>46261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46261</v>
      </c>
      <c r="F332" t="inlineStr">
        <is>
          <t>VÄSTERBOTTENS LÄN</t>
        </is>
      </c>
      <c r="G332" t="inlineStr">
        <is>
          <t>MALÅ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46261</v>
      </c>
      <c r="F333" t="inlineStr">
        <is>
          <t>VÄSTERBOTTENS LÄN</t>
        </is>
      </c>
      <c r="G333" t="inlineStr">
        <is>
          <t>MALÅ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46261</v>
      </c>
      <c r="F334" t="inlineStr">
        <is>
          <t>VÄSTERBOTTENS LÄN</t>
        </is>
      </c>
      <c r="G334" t="inlineStr">
        <is>
          <t>MALÅ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45175</v>
      </c>
      <c r="E335" s="1" t="n">
        <v>46261</v>
      </c>
      <c r="F335" t="inlineStr">
        <is>
          <t>VÄSTERBOTTENS LÄN</t>
        </is>
      </c>
      <c r="G335" t="inlineStr">
        <is>
          <t>MALÅ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4926-2025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45688</v>
      </c>
      <c r="E336" s="1" t="n">
        <v>46261</v>
      </c>
      <c r="F336" t="inlineStr">
        <is>
          <t>VÄSTERBOTTENS LÄN</t>
        </is>
      </c>
      <c r="G336" t="inlineStr">
        <is>
          <t>MALÅ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37897-2023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46261</v>
      </c>
      <c r="F337" t="inlineStr">
        <is>
          <t>VÄSTERBOTTENS LÄN</t>
        </is>
      </c>
      <c r="G337" t="inlineStr">
        <is>
          <t>MALÅ</t>
        </is>
      </c>
      <c r="I337" t="n">
        <v>30.4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58838-2024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45636</v>
      </c>
      <c r="E338" s="1" t="n">
        <v>46261</v>
      </c>
      <c r="F338" t="inlineStr">
        <is>
          <t>VÄSTERBOTTENS LÄN</t>
        </is>
      </c>
      <c r="G338" t="inlineStr">
        <is>
          <t>MALÅ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45483</v>
      </c>
      <c r="E339" s="1" t="n">
        <v>46261</v>
      </c>
      <c r="F339" t="inlineStr">
        <is>
          <t>VÄSTERBOTTENS LÄN</t>
        </is>
      </c>
      <c r="G339" t="inlineStr">
        <is>
          <t>MALÅ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46261</v>
      </c>
      <c r="F340" t="inlineStr">
        <is>
          <t>VÄSTERBOTTENS LÄN</t>
        </is>
      </c>
      <c r="G340" t="inlineStr">
        <is>
          <t>MALÅ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45454</v>
      </c>
      <c r="E341" s="1" t="n">
        <v>46261</v>
      </c>
      <c r="F341" t="inlineStr">
        <is>
          <t>VÄSTERBOTTENS LÄN</t>
        </is>
      </c>
      <c r="G341" t="inlineStr">
        <is>
          <t>MALÅ</t>
        </is>
      </c>
      <c r="I341" t="n">
        <v>9.4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57499-2022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44889</v>
      </c>
      <c r="E342" s="1" t="n">
        <v>46261</v>
      </c>
      <c r="F342" t="inlineStr">
        <is>
          <t>VÄSTERBOTTENS LÄN</t>
        </is>
      </c>
      <c r="G342" t="inlineStr">
        <is>
          <t>MALÅ</t>
        </is>
      </c>
      <c r="I342" t="n">
        <v>10.2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59801-2021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44491</v>
      </c>
      <c r="E343" s="1" t="n">
        <v>46261</v>
      </c>
      <c r="F343" t="inlineStr">
        <is>
          <t>VÄSTERBOTTENS LÄN</t>
        </is>
      </c>
      <c r="G343" t="inlineStr">
        <is>
          <t>MALÅ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67383-2021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44523</v>
      </c>
      <c r="E344" s="1" t="n">
        <v>46261</v>
      </c>
      <c r="F344" t="inlineStr">
        <is>
          <t>VÄSTERBOTTENS LÄN</t>
        </is>
      </c>
      <c r="G344" t="inlineStr">
        <is>
          <t>MALÅ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894-2022</t>
        </is>
      </c>
      <c r="B345" t="inlineStr">
        <is>
          <t>samrådsanmälan</t>
        </is>
      </c>
      <c r="C345" t="inlineStr">
        <is>
          <t>Skogsgödsling</t>
        </is>
      </c>
      <c r="D345" s="1" t="n">
        <v>44607</v>
      </c>
      <c r="E345" s="1" t="n">
        <v>46261</v>
      </c>
      <c r="F345" t="inlineStr">
        <is>
          <t>VÄSTERBOTTENS LÄN</t>
        </is>
      </c>
      <c r="G345" t="inlineStr">
        <is>
          <t>MALÅ</t>
        </is>
      </c>
      <c r="H345" t="inlineStr">
        <is>
          <t>SCA</t>
        </is>
      </c>
      <c r="I345" t="n">
        <v>86.3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2026-08-27T01:55:09Z</dcterms:created>
  <dcterms:modified xmlns:dcterms="http://purl.org/dc/terms/" xmlns:xsi="http://www.w3.org/2001/XMLSchema-instance" xsi:type="dcterms:W3CDTF">2026-08-27T01:55:09Z</dcterms:modified>
</cp:coreProperties>
</file>