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41330-2024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45559</v>
      </c>
      <c r="E2" s="1" t="n">
        <v>46308</v>
      </c>
      <c r="F2" t="inlineStr">
        <is>
          <t>VÄSTERBOTTENS LÄN</t>
        </is>
      </c>
      <c r="G2" t="inlineStr">
        <is>
          <t>MALÅ</t>
        </is>
      </c>
      <c r="H2" t="inlineStr">
        <is>
          <t>Sveaskog</t>
        </is>
      </c>
      <c r="I2" t="n">
        <v>9.699999999999999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5</v>
      </c>
      <c r="T2" t="n">
        <v>5</v>
      </c>
      <c r="U2" t="n">
        <v>0</v>
      </c>
      <c r="V2" s="2" t="inlineStr">
        <is>
          <t>Blå taggsvamp
Dropptaggsvamp
Kolflarnlav
Orange taggsvamp
Skarp dropptaggsvamp</t>
        </is>
      </c>
      <c r="W2">
        <f>HYPERLINK("https://klasma.github.io/Logging_2418/artfynd/A 41330-2024 artfynd.xlsx", "A 41330-2024")</f>
        <v/>
      </c>
      <c r="X2">
        <f>HYPERLINK("https://klasma.github.io/Logging_2418/kartor/A 41330-2024 karta.png", "A 41330-2024")</f>
        <v/>
      </c>
      <c r="Y2">
        <f>HYPERLINK("https://klasma.github.io/Logging_2418/kartor_geotiff/A 41330-2024 georefererad karta.tif", "A 41330-2024")</f>
        <v/>
      </c>
      <c r="AA2">
        <f>HYPERLINK("https://klasma.github.io/Logging_2418/klagomål/A 41330-2024 FSC-klagomål.docx", "A 41330-2024")</f>
        <v/>
      </c>
      <c r="AB2">
        <f>HYPERLINK("https://klasma.github.io/Logging_2418/klagomålsmail/A 41330-2024 FSC-klagomål mail.docx", "A 41330-2024")</f>
        <v/>
      </c>
      <c r="AC2">
        <f>HYPERLINK("https://klasma.github.io/Logging_2418/tillsyn/A 41330-2024 tillsynsbegäran.docx", "A 41330-2024")</f>
        <v/>
      </c>
      <c r="AD2">
        <f>HYPERLINK("https://klasma.github.io/Logging_2418/tillsynsmail/A 41330-2024 tillsynsbegäran mail.docx", "A 41330-2024")</f>
        <v/>
      </c>
    </row>
    <row r="3" ht="15" customHeight="1">
      <c r="A3" t="inlineStr">
        <is>
          <t>A 39692-2024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45552</v>
      </c>
      <c r="E3" s="1" t="n">
        <v>46308</v>
      </c>
      <c r="F3" t="inlineStr">
        <is>
          <t>VÄSTERBOTTENS LÄN</t>
        </is>
      </c>
      <c r="G3" t="inlineStr">
        <is>
          <t>MALÅ</t>
        </is>
      </c>
      <c r="H3" t="inlineStr">
        <is>
          <t>Sveaskog</t>
        </is>
      </c>
      <c r="I3" t="n">
        <v>15.8</v>
      </c>
      <c r="J3" t="n">
        <v>1</v>
      </c>
      <c r="K3" t="n">
        <v>1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4</v>
      </c>
      <c r="T3" t="n">
        <v>5</v>
      </c>
      <c r="U3" t="n">
        <v>5</v>
      </c>
      <c r="V3" s="2" t="inlineStr">
        <is>
          <t>Blå taggsvamp
Orange taggsvamp
Skarp dropptaggsvamp
Plattlummer</t>
        </is>
      </c>
      <c r="W3">
        <f>HYPERLINK("https://klasma.github.io/Logging_2418/artfynd/A 39692-2024 artfynd.xlsx", "A 39692-2024")</f>
        <v/>
      </c>
      <c r="X3">
        <f>HYPERLINK("https://klasma.github.io/Logging_2418/kartor/A 39692-2024 karta.png", "A 39692-2024")</f>
        <v/>
      </c>
      <c r="Y3">
        <f>HYPERLINK("https://klasma.github.io/Logging_2418/kartor_geotiff/A 39692-2024 georefererad karta.tif", "A 39692-2024")</f>
        <v/>
      </c>
      <c r="AA3">
        <f>HYPERLINK("https://klasma.github.io/Logging_2418/klagomål/A 39692-2024 FSC-klagomål.docx", "A 39692-2024")</f>
        <v/>
      </c>
      <c r="AB3">
        <f>HYPERLINK("https://klasma.github.io/Logging_2418/klagomålsmail/A 39692-2024 FSC-klagomål mail.docx", "A 39692-2024")</f>
        <v/>
      </c>
      <c r="AC3">
        <f>HYPERLINK("https://klasma.github.io/Logging_2418/tillsyn/A 39692-2024 tillsynsbegäran.docx", "A 39692-2024")</f>
        <v/>
      </c>
      <c r="AD3">
        <f>HYPERLINK("https://klasma.github.io/Logging_2418/tillsynsmail/A 39692-2024 tillsynsbegäran mail.docx", "A 39692-2024")</f>
        <v/>
      </c>
    </row>
    <row r="4" ht="15" customHeight="1">
      <c r="A4" t="inlineStr">
        <is>
          <t>A 51951-2025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45952</v>
      </c>
      <c r="E4" s="1" t="n">
        <v>46308</v>
      </c>
      <c r="F4" t="inlineStr">
        <is>
          <t>VÄSTERBOTTENS LÄN</t>
        </is>
      </c>
      <c r="G4" t="inlineStr">
        <is>
          <t>MALÅ</t>
        </is>
      </c>
      <c r="I4" t="n">
        <v>6.6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2</v>
      </c>
      <c r="T4" t="n">
        <v>3</v>
      </c>
      <c r="U4" t="n">
        <v>0</v>
      </c>
      <c r="V4" s="2" t="inlineStr">
        <is>
          <t>Garnlav
Ullticka</t>
        </is>
      </c>
      <c r="W4">
        <f>HYPERLINK("https://klasma.github.io/Logging_2418/artfynd/A 51951-2025 artfynd.xlsx", "A 51951-2025")</f>
        <v/>
      </c>
      <c r="X4">
        <f>HYPERLINK("https://klasma.github.io/Logging_2418/kartor/A 51951-2025 karta.png", "A 51951-2025")</f>
        <v/>
      </c>
      <c r="Y4">
        <f>HYPERLINK("https://klasma.github.io/Logging_2418/kartor_geotiff/A 51951-2025 georefererad karta.tif", "A 51951-2025")</f>
        <v/>
      </c>
      <c r="AA4">
        <f>HYPERLINK("https://klasma.github.io/Logging_2418/klagomål/A 51951-2025 FSC-klagomål.docx", "A 51951-2025")</f>
        <v/>
      </c>
      <c r="AB4">
        <f>HYPERLINK("https://klasma.github.io/Logging_2418/klagomålsmail/A 51951-2025 FSC-klagomål mail.docx", "A 51951-2025")</f>
        <v/>
      </c>
      <c r="AC4">
        <f>HYPERLINK("https://klasma.github.io/Logging_2418/tillsyn/A 51951-2025 tillsynsbegäran.docx", "A 51951-2025")</f>
        <v/>
      </c>
      <c r="AD4">
        <f>HYPERLINK("https://klasma.github.io/Logging_2418/tillsynsmail/A 51951-2025 tillsynsbegäran mail.docx", "A 51951-2025")</f>
        <v/>
      </c>
    </row>
    <row r="5" ht="15" customHeight="1">
      <c r="A5" t="inlineStr">
        <is>
          <t>A 39648-2026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46289</v>
      </c>
      <c r="E5" s="1" t="n">
        <v>46308</v>
      </c>
      <c r="F5" t="inlineStr">
        <is>
          <t>VÄSTERBOTTENS LÄN</t>
        </is>
      </c>
      <c r="G5" t="inlineStr">
        <is>
          <t>MALÅ</t>
        </is>
      </c>
      <c r="H5" t="inlineStr">
        <is>
          <t>Sveaskog</t>
        </is>
      </c>
      <c r="I5" t="n">
        <v>8.199999999999999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2</v>
      </c>
      <c r="T5" t="n">
        <v>2</v>
      </c>
      <c r="U5" t="n">
        <v>0</v>
      </c>
      <c r="V5" s="2" t="inlineStr">
        <is>
          <t>Gammelgransskål
Rynkskinn</t>
        </is>
      </c>
      <c r="W5">
        <f>HYPERLINK("https://klasma.github.io/Logging_2418/artfynd/A 39648-2026 artfynd.xlsx", "A 39648-2026")</f>
        <v/>
      </c>
      <c r="X5">
        <f>HYPERLINK("https://klasma.github.io/Logging_2418/kartor/A 39648-2026 karta.png", "A 39648-2026")</f>
        <v/>
      </c>
      <c r="Y5">
        <f>HYPERLINK("https://klasma.github.io/Logging_2418/kartor_geotiff/A 39648-2026 georefererad karta.tif", "A 39648-2026")</f>
        <v/>
      </c>
      <c r="AA5">
        <f>HYPERLINK("https://klasma.github.io/Logging_2418/klagomål/A 39648-2026 FSC-klagomål.docx", "A 39648-2026")</f>
        <v/>
      </c>
      <c r="AB5">
        <f>HYPERLINK("https://klasma.github.io/Logging_2418/klagomålsmail/A 39648-2026 FSC-klagomål mail.docx", "A 39648-2026")</f>
        <v/>
      </c>
      <c r="AC5">
        <f>HYPERLINK("https://klasma.github.io/Logging_2418/tillsyn/A 39648-2026 tillsynsbegäran.docx", "A 39648-2026")</f>
        <v/>
      </c>
      <c r="AD5">
        <f>HYPERLINK("https://klasma.github.io/Logging_2418/tillsynsmail/A 39648-2026 tillsynsbegäran mail.docx", "A 39648-2026")</f>
        <v/>
      </c>
    </row>
    <row r="6" ht="15" customHeight="1">
      <c r="A6" t="inlineStr">
        <is>
          <t>S 3446-2024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45537</v>
      </c>
      <c r="E6" s="1" t="n">
        <v>46308</v>
      </c>
      <c r="F6" t="inlineStr">
        <is>
          <t>VÄSTERBOTTENS LÄN</t>
        </is>
      </c>
      <c r="G6" t="inlineStr">
        <is>
          <t>MALÅ</t>
        </is>
      </c>
      <c r="H6" t="inlineStr">
        <is>
          <t>Sveaskog</t>
        </is>
      </c>
      <c r="I6" t="n">
        <v>12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2</v>
      </c>
      <c r="T6" t="n">
        <v>3</v>
      </c>
      <c r="U6" t="n">
        <v>0</v>
      </c>
      <c r="V6" s="2" t="inlineStr">
        <is>
          <t>Gränsticka
Rosenticka</t>
        </is>
      </c>
      <c r="W6">
        <f>HYPERLINK("https://klasma.github.io/Logging_2418/artfynd/S 3446-2024 artfynd.xlsx", "S 3446-2024")</f>
        <v/>
      </c>
      <c r="X6">
        <f>HYPERLINK("https://klasma.github.io/Logging_2418/kartor/S 3446-2024 karta.png", "S 3446-2024")</f>
        <v/>
      </c>
      <c r="Y6">
        <f>HYPERLINK("https://klasma.github.io/Logging_2418/kartor_geotiff/S 3446-2024 georefererad karta.tif", "S 3446-2024")</f>
        <v/>
      </c>
      <c r="AA6">
        <f>HYPERLINK("https://klasma.github.io/Logging_2418/klagomål/S 3446-2024 FSC-klagomål.docx", "S 3446-2024")</f>
        <v/>
      </c>
      <c r="AB6">
        <f>HYPERLINK("https://klasma.github.io/Logging_2418/klagomålsmail/S 3446-2024 FSC-klagomål mail.docx", "S 3446-2024")</f>
        <v/>
      </c>
      <c r="AC6">
        <f>HYPERLINK("https://klasma.github.io/Logging_2418/tillsyn/S 3446-2024 tillsynsbegäran.docx", "S 3446-2024")</f>
        <v/>
      </c>
      <c r="AD6">
        <f>HYPERLINK("https://klasma.github.io/Logging_2418/tillsynsmail/S 3446-2024 tillsynsbegäran mail.docx", "S 3446-2024")</f>
        <v/>
      </c>
    </row>
    <row r="7" ht="15" customHeight="1">
      <c r="A7" t="inlineStr">
        <is>
          <t>A 49040-2025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45937</v>
      </c>
      <c r="E7" s="1" t="n">
        <v>46308</v>
      </c>
      <c r="F7" t="inlineStr">
        <is>
          <t>VÄSTERBOTTENS LÄN</t>
        </is>
      </c>
      <c r="G7" t="inlineStr">
        <is>
          <t>MALÅ</t>
        </is>
      </c>
      <c r="H7" t="inlineStr">
        <is>
          <t>Sveaskog</t>
        </is>
      </c>
      <c r="I7" t="n">
        <v>5.5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s="2" t="inlineStr">
        <is>
          <t>Orange taggsvamp</t>
        </is>
      </c>
      <c r="W7">
        <f>HYPERLINK("https://klasma.github.io/Logging_2418/artfynd/A 49040-2025 artfynd.xlsx", "A 49040-2025")</f>
        <v/>
      </c>
      <c r="X7">
        <f>HYPERLINK("https://klasma.github.io/Logging_2418/kartor/A 49040-2025 karta.png", "A 49040-2025")</f>
        <v/>
      </c>
      <c r="Y7">
        <f>HYPERLINK("https://klasma.github.io/Logging_2418/kartor_geotiff/A 49040-2025 georefererad karta.tif", "A 49040-2025")</f>
        <v/>
      </c>
      <c r="AA7">
        <f>HYPERLINK("https://klasma.github.io/Logging_2418/klagomål/A 49040-2025 FSC-klagomål.docx", "A 49040-2025")</f>
        <v/>
      </c>
      <c r="AB7">
        <f>HYPERLINK("https://klasma.github.io/Logging_2418/klagomålsmail/A 49040-2025 FSC-klagomål mail.docx", "A 49040-2025")</f>
        <v/>
      </c>
      <c r="AC7">
        <f>HYPERLINK("https://klasma.github.io/Logging_2418/tillsyn/A 49040-2025 tillsynsbegäran.docx", "A 49040-2025")</f>
        <v/>
      </c>
      <c r="AD7">
        <f>HYPERLINK("https://klasma.github.io/Logging_2418/tillsynsmail/A 49040-2025 tillsynsbegäran mail.docx", "A 49040-2025")</f>
        <v/>
      </c>
    </row>
    <row r="8" ht="15" customHeight="1">
      <c r="A8" t="inlineStr">
        <is>
          <t>A 48895-2025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45937</v>
      </c>
      <c r="E8" s="1" t="n">
        <v>46308</v>
      </c>
      <c r="F8" t="inlineStr">
        <is>
          <t>VÄSTERBOTTENS LÄN</t>
        </is>
      </c>
      <c r="G8" t="inlineStr">
        <is>
          <t>MALÅ</t>
        </is>
      </c>
      <c r="H8" t="inlineStr">
        <is>
          <t>Sveaskog</t>
        </is>
      </c>
      <c r="I8" t="n">
        <v>11.7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Tallticka</t>
        </is>
      </c>
      <c r="W8">
        <f>HYPERLINK("https://klasma.github.io/Logging_2418/artfynd/A 48895-2025 artfynd.xlsx", "A 48895-2025")</f>
        <v/>
      </c>
      <c r="X8">
        <f>HYPERLINK("https://klasma.github.io/Logging_2418/kartor/A 48895-2025 karta.png", "A 48895-2025")</f>
        <v/>
      </c>
      <c r="Y8">
        <f>HYPERLINK("https://klasma.github.io/Logging_2418/kartor_geotiff/A 48895-2025 georefererad karta.tif", "A 48895-2025")</f>
        <v/>
      </c>
      <c r="AA8">
        <f>HYPERLINK("https://klasma.github.io/Logging_2418/klagomål/A 48895-2025 FSC-klagomål.docx", "A 48895-2025")</f>
        <v/>
      </c>
      <c r="AB8">
        <f>HYPERLINK("https://klasma.github.io/Logging_2418/klagomålsmail/A 48895-2025 FSC-klagomål mail.docx", "A 48895-2025")</f>
        <v/>
      </c>
      <c r="AC8">
        <f>HYPERLINK("https://klasma.github.io/Logging_2418/tillsyn/A 48895-2025 tillsynsbegäran.docx", "A 48895-2025")</f>
        <v/>
      </c>
      <c r="AD8">
        <f>HYPERLINK("https://klasma.github.io/Logging_2418/tillsynsmail/A 48895-2025 tillsynsbegäran mail.docx", "A 48895-2025")</f>
        <v/>
      </c>
    </row>
    <row r="9" ht="15" customHeight="1">
      <c r="A9" t="inlineStr">
        <is>
          <t>A 5658-2026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46051</v>
      </c>
      <c r="E9" s="1" t="n">
        <v>46308</v>
      </c>
      <c r="F9" t="inlineStr">
        <is>
          <t>VÄSTERBOTTENS LÄN</t>
        </is>
      </c>
      <c r="G9" t="inlineStr">
        <is>
          <t>MALÅ</t>
        </is>
      </c>
      <c r="H9" t="inlineStr">
        <is>
          <t>Sveaskog</t>
        </is>
      </c>
      <c r="I9" t="n">
        <v>8.6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Grantaggsvamp</t>
        </is>
      </c>
      <c r="W9">
        <f>HYPERLINK("https://klasma.github.io/Logging_2418/artfynd/A 5658-2026 artfynd.xlsx", "A 5658-2026")</f>
        <v/>
      </c>
      <c r="X9">
        <f>HYPERLINK("https://klasma.github.io/Logging_2418/kartor/A 5658-2026 karta.png", "A 5658-2026")</f>
        <v/>
      </c>
      <c r="Y9">
        <f>HYPERLINK("https://klasma.github.io/Logging_2418/kartor_geotiff/A 5658-2026 georefererad karta.tif", "A 5658-2026")</f>
        <v/>
      </c>
      <c r="AA9">
        <f>HYPERLINK("https://klasma.github.io/Logging_2418/klagomål/A 5658-2026 FSC-klagomål.docx", "A 5658-2026")</f>
        <v/>
      </c>
      <c r="AB9">
        <f>HYPERLINK("https://klasma.github.io/Logging_2418/klagomålsmail/A 5658-2026 FSC-klagomål mail.docx", "A 5658-2026")</f>
        <v/>
      </c>
      <c r="AC9">
        <f>HYPERLINK("https://klasma.github.io/Logging_2418/tillsyn/A 5658-2026 tillsynsbegäran.docx", "A 5658-2026")</f>
        <v/>
      </c>
      <c r="AD9">
        <f>HYPERLINK("https://klasma.github.io/Logging_2418/tillsynsmail/A 5658-2026 tillsynsbegäran mail.docx", "A 5658-2026")</f>
        <v/>
      </c>
    </row>
    <row r="10" ht="15" customHeight="1">
      <c r="A10" t="inlineStr">
        <is>
          <t>A 35181-2026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46260</v>
      </c>
      <c r="E10" s="1" t="n">
        <v>46308</v>
      </c>
      <c r="F10" t="inlineStr">
        <is>
          <t>VÄSTERBOTTENS LÄN</t>
        </is>
      </c>
      <c r="G10" t="inlineStr">
        <is>
          <t>MALÅ</t>
        </is>
      </c>
      <c r="H10" t="inlineStr">
        <is>
          <t>Sveaskog</t>
        </is>
      </c>
      <c r="I10" t="n">
        <v>7.9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Kolflarnlav</t>
        </is>
      </c>
      <c r="W10">
        <f>HYPERLINK("https://klasma.github.io/Logging_2418/artfynd/A 35181-2026 artfynd.xlsx", "A 35181-2026")</f>
        <v/>
      </c>
      <c r="X10">
        <f>HYPERLINK("https://klasma.github.io/Logging_2418/kartor/A 35181-2026 karta.png", "A 35181-2026")</f>
        <v/>
      </c>
      <c r="Y10">
        <f>HYPERLINK("https://klasma.github.io/Logging_2418/kartor_geotiff/A 35181-2026 georefererad karta.tif", "A 35181-2026")</f>
        <v/>
      </c>
      <c r="AA10">
        <f>HYPERLINK("https://klasma.github.io/Logging_2418/klagomål/A 35181-2026 FSC-klagomål.docx", "A 35181-2026")</f>
        <v/>
      </c>
      <c r="AB10">
        <f>HYPERLINK("https://klasma.github.io/Logging_2418/klagomålsmail/A 35181-2026 FSC-klagomål mail.docx", "A 35181-2026")</f>
        <v/>
      </c>
      <c r="AC10">
        <f>HYPERLINK("https://klasma.github.io/Logging_2418/tillsyn/A 35181-2026 tillsynsbegäran.docx", "A 35181-2026")</f>
        <v/>
      </c>
      <c r="AD10">
        <f>HYPERLINK("https://klasma.github.io/Logging_2418/tillsynsmail/A 35181-2026 tillsynsbegäran mail.docx", "A 35181-2026")</f>
        <v/>
      </c>
    </row>
    <row r="11" ht="15" customHeight="1">
      <c r="A11" t="inlineStr">
        <is>
          <t>A 52129-2024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45608</v>
      </c>
      <c r="E11" s="1" t="n">
        <v>46308</v>
      </c>
      <c r="F11" t="inlineStr">
        <is>
          <t>VÄSTERBOTTENS LÄN</t>
        </is>
      </c>
      <c r="G11" t="inlineStr">
        <is>
          <t>MALÅ</t>
        </is>
      </c>
      <c r="H11" t="inlineStr">
        <is>
          <t>Sveaskog</t>
        </is>
      </c>
      <c r="I11" t="n">
        <v>5.2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s="2" t="inlineStr">
        <is>
          <t>Gammelgransskål</t>
        </is>
      </c>
      <c r="W11">
        <f>HYPERLINK("https://klasma.github.io/Logging_2418/artfynd/A 52129-2024 artfynd.xlsx", "A 52129-2024")</f>
        <v/>
      </c>
      <c r="X11">
        <f>HYPERLINK("https://klasma.github.io/Logging_2418/kartor/A 52129-2024 karta.png", "A 52129-2024")</f>
        <v/>
      </c>
      <c r="Y11">
        <f>HYPERLINK("https://klasma.github.io/Logging_2418/kartor_geotiff/A 52129-2024 georefererad karta.tif", "A 52129-2024")</f>
        <v/>
      </c>
      <c r="AA11">
        <f>HYPERLINK("https://klasma.github.io/Logging_2418/klagomål/A 52129-2024 FSC-klagomål.docx", "A 52129-2024")</f>
        <v/>
      </c>
      <c r="AB11">
        <f>HYPERLINK("https://klasma.github.io/Logging_2418/klagomålsmail/A 52129-2024 FSC-klagomål mail.docx", "A 52129-2024")</f>
        <v/>
      </c>
      <c r="AC11">
        <f>HYPERLINK("https://klasma.github.io/Logging_2418/tillsyn/A 52129-2024 tillsynsbegäran.docx", "A 52129-2024")</f>
        <v/>
      </c>
      <c r="AD11">
        <f>HYPERLINK("https://klasma.github.io/Logging_2418/tillsynsmail/A 52129-2024 tillsynsbegäran mail.docx", "A 52129-2024")</f>
        <v/>
      </c>
    </row>
    <row r="12" ht="15" customHeight="1">
      <c r="A12" t="inlineStr">
        <is>
          <t>A 41840-2023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45176</v>
      </c>
      <c r="E12" s="1" t="n">
        <v>46308</v>
      </c>
      <c r="F12" t="inlineStr">
        <is>
          <t>VÄSTERBOTTENS LÄN</t>
        </is>
      </c>
      <c r="G12" t="inlineStr">
        <is>
          <t>MALÅ</t>
        </is>
      </c>
      <c r="H12" t="inlineStr">
        <is>
          <t>Sveaskog</t>
        </is>
      </c>
      <c r="I12" t="n">
        <v>15.9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Robust tickgnagare</t>
        </is>
      </c>
      <c r="W12">
        <f>HYPERLINK("https://klasma.github.io/Logging_2418/artfynd/A 41840-2023 artfynd.xlsx", "A 41840-2023")</f>
        <v/>
      </c>
      <c r="X12">
        <f>HYPERLINK("https://klasma.github.io/Logging_2418/kartor/A 41840-2023 karta.png", "A 41840-2023")</f>
        <v/>
      </c>
      <c r="Y12">
        <f>HYPERLINK("https://klasma.github.io/Logging_2418/kartor_geotiff/A 41840-2023 georefererad karta.tif", "A 41840-2023")</f>
        <v/>
      </c>
      <c r="AA12">
        <f>HYPERLINK("https://klasma.github.io/Logging_2418/klagomål/A 41840-2023 FSC-klagomål.docx", "A 41840-2023")</f>
        <v/>
      </c>
      <c r="AB12">
        <f>HYPERLINK("https://klasma.github.io/Logging_2418/klagomålsmail/A 41840-2023 FSC-klagomål mail.docx", "A 41840-2023")</f>
        <v/>
      </c>
      <c r="AC12">
        <f>HYPERLINK("https://klasma.github.io/Logging_2418/tillsyn/A 41840-2023 tillsynsbegäran.docx", "A 41840-2023")</f>
        <v/>
      </c>
      <c r="AD12">
        <f>HYPERLINK("https://klasma.github.io/Logging_2418/tillsynsmail/A 41840-2023 tillsynsbegäran mail.docx", "A 41840-2023")</f>
        <v/>
      </c>
    </row>
    <row r="13" ht="15" customHeight="1">
      <c r="A13" t="inlineStr">
        <is>
          <t>A 46026-2022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44846</v>
      </c>
      <c r="E13" s="1" t="n">
        <v>46308</v>
      </c>
      <c r="F13" t="inlineStr">
        <is>
          <t>VÄSTERBOTTENS LÄN</t>
        </is>
      </c>
      <c r="G13" t="inlineStr">
        <is>
          <t>MALÅ</t>
        </is>
      </c>
      <c r="I13" t="n">
        <v>0.8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48144-2022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44858</v>
      </c>
      <c r="E14" s="1" t="n">
        <v>46308</v>
      </c>
      <c r="F14" t="inlineStr">
        <is>
          <t>VÄSTERBOTTENS LÄN</t>
        </is>
      </c>
      <c r="G14" t="inlineStr">
        <is>
          <t>MALÅ</t>
        </is>
      </c>
      <c r="H14" t="inlineStr">
        <is>
          <t>Sveaskog</t>
        </is>
      </c>
      <c r="I14" t="n">
        <v>1.2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58252-2021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44487</v>
      </c>
      <c r="E15" s="1" t="n">
        <v>46308</v>
      </c>
      <c r="F15" t="inlineStr">
        <is>
          <t>VÄSTERBOTTENS LÄN</t>
        </is>
      </c>
      <c r="G15" t="inlineStr">
        <is>
          <t>MALÅ</t>
        </is>
      </c>
      <c r="I15" t="n">
        <v>3.8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48145-2022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44858</v>
      </c>
      <c r="E16" s="1" t="n">
        <v>46308</v>
      </c>
      <c r="F16" t="inlineStr">
        <is>
          <t>VÄSTERBOTTENS LÄN</t>
        </is>
      </c>
      <c r="G16" t="inlineStr">
        <is>
          <t>MALÅ</t>
        </is>
      </c>
      <c r="H16" t="inlineStr">
        <is>
          <t>Sveaskog</t>
        </is>
      </c>
      <c r="I16" t="n">
        <v>4.2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58251-2021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44487</v>
      </c>
      <c r="E17" s="1" t="n">
        <v>46308</v>
      </c>
      <c r="F17" t="inlineStr">
        <is>
          <t>VÄSTERBOTTENS LÄN</t>
        </is>
      </c>
      <c r="G17" t="inlineStr">
        <is>
          <t>MALÅ</t>
        </is>
      </c>
      <c r="I17" t="n">
        <v>8.5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4077-2022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44587</v>
      </c>
      <c r="E18" s="1" t="n">
        <v>46308</v>
      </c>
      <c r="F18" t="inlineStr">
        <is>
          <t>VÄSTERBOTTENS LÄN</t>
        </is>
      </c>
      <c r="G18" t="inlineStr">
        <is>
          <t>MALÅ</t>
        </is>
      </c>
      <c r="I18" t="n">
        <v>10.4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38404-2023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45162</v>
      </c>
      <c r="E19" s="1" t="n">
        <v>46308</v>
      </c>
      <c r="F19" t="inlineStr">
        <is>
          <t>VÄSTERBOTTENS LÄN</t>
        </is>
      </c>
      <c r="G19" t="inlineStr">
        <is>
          <t>MALÅ</t>
        </is>
      </c>
      <c r="I19" t="n">
        <v>17.5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41852-2023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45174</v>
      </c>
      <c r="E20" s="1" t="n">
        <v>46308</v>
      </c>
      <c r="F20" t="inlineStr">
        <is>
          <t>VÄSTERBOTTENS LÄN</t>
        </is>
      </c>
      <c r="G20" t="inlineStr">
        <is>
          <t>MALÅ</t>
        </is>
      </c>
      <c r="I20" t="n">
        <v>3.5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41913-2023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45176</v>
      </c>
      <c r="E21" s="1" t="n">
        <v>46308</v>
      </c>
      <c r="F21" t="inlineStr">
        <is>
          <t>VÄSTERBOTTENS LÄN</t>
        </is>
      </c>
      <c r="G21" t="inlineStr">
        <is>
          <t>MALÅ</t>
        </is>
      </c>
      <c r="H21" t="inlineStr">
        <is>
          <t>Sveaskog</t>
        </is>
      </c>
      <c r="I21" t="n">
        <v>1.8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40588-2023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45170</v>
      </c>
      <c r="E22" s="1" t="n">
        <v>46308</v>
      </c>
      <c r="F22" t="inlineStr">
        <is>
          <t>VÄSTERBOTTENS LÄN</t>
        </is>
      </c>
      <c r="G22" t="inlineStr">
        <is>
          <t>MALÅ</t>
        </is>
      </c>
      <c r="H22" t="inlineStr">
        <is>
          <t>Sveaskog</t>
        </is>
      </c>
      <c r="I22" t="n">
        <v>15.6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39622-2025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45890</v>
      </c>
      <c r="E23" s="1" t="n">
        <v>46308</v>
      </c>
      <c r="F23" t="inlineStr">
        <is>
          <t>VÄSTERBOTTENS LÄN</t>
        </is>
      </c>
      <c r="G23" t="inlineStr">
        <is>
          <t>MALÅ</t>
        </is>
      </c>
      <c r="H23" t="inlineStr">
        <is>
          <t>Sveaskog</t>
        </is>
      </c>
      <c r="I23" t="n">
        <v>14.3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39614-2025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45890</v>
      </c>
      <c r="E24" s="1" t="n">
        <v>46308</v>
      </c>
      <c r="F24" t="inlineStr">
        <is>
          <t>VÄSTERBOTTENS LÄN</t>
        </is>
      </c>
      <c r="G24" t="inlineStr">
        <is>
          <t>MALÅ</t>
        </is>
      </c>
      <c r="H24" t="inlineStr">
        <is>
          <t>Sveaskog</t>
        </is>
      </c>
      <c r="I24" t="n">
        <v>7.4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39627-2025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45890</v>
      </c>
      <c r="E25" s="1" t="n">
        <v>46308</v>
      </c>
      <c r="F25" t="inlineStr">
        <is>
          <t>VÄSTERBOTTENS LÄN</t>
        </is>
      </c>
      <c r="G25" t="inlineStr">
        <is>
          <t>MALÅ</t>
        </is>
      </c>
      <c r="H25" t="inlineStr">
        <is>
          <t>Sveaskog</t>
        </is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31088-2024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45502</v>
      </c>
      <c r="E26" s="1" t="n">
        <v>46308</v>
      </c>
      <c r="F26" t="inlineStr">
        <is>
          <t>VÄSTERBOTTENS LÄN</t>
        </is>
      </c>
      <c r="G26" t="inlineStr">
        <is>
          <t>MALÅ</t>
        </is>
      </c>
      <c r="I26" t="n">
        <v>7.3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40822-2023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45171</v>
      </c>
      <c r="E27" s="1" t="n">
        <v>46308</v>
      </c>
      <c r="F27" t="inlineStr">
        <is>
          <t>VÄSTERBOTTENS LÄN</t>
        </is>
      </c>
      <c r="G27" t="inlineStr">
        <is>
          <t>MALÅ</t>
        </is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37171-2023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45154</v>
      </c>
      <c r="E28" s="1" t="n">
        <v>46308</v>
      </c>
      <c r="F28" t="inlineStr">
        <is>
          <t>VÄSTERBOTTENS LÄN</t>
        </is>
      </c>
      <c r="G28" t="inlineStr">
        <is>
          <t>MALÅ</t>
        </is>
      </c>
      <c r="I28" t="n">
        <v>8.9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41353-2023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45174</v>
      </c>
      <c r="E29" s="1" t="n">
        <v>46308</v>
      </c>
      <c r="F29" t="inlineStr">
        <is>
          <t>VÄSTERBOTTENS LÄN</t>
        </is>
      </c>
      <c r="G29" t="inlineStr">
        <is>
          <t>MALÅ</t>
        </is>
      </c>
      <c r="I29" t="n">
        <v>2.5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  <c r="Z29">
        <f>HYPERLINK("https://klasma.github.io/Logging_2418/knärot/A 41353-2023 karta knärot.png", "A 41353-2023")</f>
        <v/>
      </c>
      <c r="AA29">
        <f>HYPERLINK("https://klasma.github.io/Logging_2418/klagomål/A 41353-2023 FSC-klagomål.docx", "A 41353-2023")</f>
        <v/>
      </c>
      <c r="AB29">
        <f>HYPERLINK("https://klasma.github.io/Logging_2418/klagomålsmail/A 41353-2023 FSC-klagomål mail.docx", "A 41353-2023")</f>
        <v/>
      </c>
      <c r="AC29">
        <f>HYPERLINK("https://klasma.github.io/Logging_2418/tillsyn/A 41353-2023 tillsynsbegäran.docx", "A 41353-2023")</f>
        <v/>
      </c>
      <c r="AD29">
        <f>HYPERLINK("https://klasma.github.io/Logging_2418/tillsynsmail/A 41353-2023 tillsynsbegäran mail.docx", "A 41353-2023")</f>
        <v/>
      </c>
    </row>
    <row r="30" ht="15" customHeight="1">
      <c r="A30" t="inlineStr">
        <is>
          <t>A 41212-2025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45898</v>
      </c>
      <c r="E30" s="1" t="n">
        <v>46308</v>
      </c>
      <c r="F30" t="inlineStr">
        <is>
          <t>VÄSTERBOTTENS LÄN</t>
        </is>
      </c>
      <c r="G30" t="inlineStr">
        <is>
          <t>MALÅ</t>
        </is>
      </c>
      <c r="H30" t="inlineStr">
        <is>
          <t>Sveaskog</t>
        </is>
      </c>
      <c r="I30" t="n">
        <v>17.6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41559-2025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45901</v>
      </c>
      <c r="E31" s="1" t="n">
        <v>46308</v>
      </c>
      <c r="F31" t="inlineStr">
        <is>
          <t>VÄSTERBOTTENS LÄN</t>
        </is>
      </c>
      <c r="G31" t="inlineStr">
        <is>
          <t>MALÅ</t>
        </is>
      </c>
      <c r="I31" t="n">
        <v>0.8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40943-2025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45897</v>
      </c>
      <c r="E32" s="1" t="n">
        <v>46308</v>
      </c>
      <c r="F32" t="inlineStr">
        <is>
          <t>VÄSTERBOTTENS LÄN</t>
        </is>
      </c>
      <c r="G32" t="inlineStr">
        <is>
          <t>MALÅ</t>
        </is>
      </c>
      <c r="I32" t="n">
        <v>0.9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41198-2025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45898</v>
      </c>
      <c r="E33" s="1" t="n">
        <v>46308</v>
      </c>
      <c r="F33" t="inlineStr">
        <is>
          <t>VÄSTERBOTTENS LÄN</t>
        </is>
      </c>
      <c r="G33" t="inlineStr">
        <is>
          <t>MALÅ</t>
        </is>
      </c>
      <c r="H33" t="inlineStr">
        <is>
          <t>Sveaskog</t>
        </is>
      </c>
      <c r="I33" t="n">
        <v>22.4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41191-2025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45898</v>
      </c>
      <c r="E34" s="1" t="n">
        <v>46308</v>
      </c>
      <c r="F34" t="inlineStr">
        <is>
          <t>VÄSTERBOTTENS LÄN</t>
        </is>
      </c>
      <c r="G34" t="inlineStr">
        <is>
          <t>MALÅ</t>
        </is>
      </c>
      <c r="H34" t="inlineStr">
        <is>
          <t>Sveaskog</t>
        </is>
      </c>
      <c r="I34" t="n">
        <v>13.8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55672-2023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45238</v>
      </c>
      <c r="E35" s="1" t="n">
        <v>46308</v>
      </c>
      <c r="F35" t="inlineStr">
        <is>
          <t>VÄSTERBOTTENS LÄN</t>
        </is>
      </c>
      <c r="G35" t="inlineStr">
        <is>
          <t>MALÅ</t>
        </is>
      </c>
      <c r="H35" t="inlineStr">
        <is>
          <t>SCA</t>
        </is>
      </c>
      <c r="I35" t="n">
        <v>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48931-2023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45209</v>
      </c>
      <c r="E36" s="1" t="n">
        <v>46308</v>
      </c>
      <c r="F36" t="inlineStr">
        <is>
          <t>VÄSTERBOTTENS LÄN</t>
        </is>
      </c>
      <c r="G36" t="inlineStr">
        <is>
          <t>MALÅ</t>
        </is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54841-2023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45236</v>
      </c>
      <c r="E37" s="1" t="n">
        <v>46308</v>
      </c>
      <c r="F37" t="inlineStr">
        <is>
          <t>VÄSTERBOTTENS LÄN</t>
        </is>
      </c>
      <c r="G37" t="inlineStr">
        <is>
          <t>MALÅ</t>
        </is>
      </c>
      <c r="I37" t="n">
        <v>2.1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6671-2025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45700</v>
      </c>
      <c r="E38" s="1" t="n">
        <v>46308</v>
      </c>
      <c r="F38" t="inlineStr">
        <is>
          <t>VÄSTERBOTTENS LÄN</t>
        </is>
      </c>
      <c r="G38" t="inlineStr">
        <is>
          <t>MALÅ</t>
        </is>
      </c>
      <c r="H38" t="inlineStr">
        <is>
          <t>SCA</t>
        </is>
      </c>
      <c r="I38" t="n">
        <v>2.6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15857-2023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45022</v>
      </c>
      <c r="E39" s="1" t="n">
        <v>46308</v>
      </c>
      <c r="F39" t="inlineStr">
        <is>
          <t>VÄSTERBOTTENS LÄN</t>
        </is>
      </c>
      <c r="G39" t="inlineStr">
        <is>
          <t>MALÅ</t>
        </is>
      </c>
      <c r="I39" t="n">
        <v>5.6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35917-2022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44802</v>
      </c>
      <c r="E40" s="1" t="n">
        <v>46308</v>
      </c>
      <c r="F40" t="inlineStr">
        <is>
          <t>VÄSTERBOTTENS LÄN</t>
        </is>
      </c>
      <c r="G40" t="inlineStr">
        <is>
          <t>MALÅ</t>
        </is>
      </c>
      <c r="I40" t="n">
        <v>2.2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41792-2023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45176</v>
      </c>
      <c r="E41" s="1" t="n">
        <v>46308</v>
      </c>
      <c r="F41" t="inlineStr">
        <is>
          <t>VÄSTERBOTTENS LÄN</t>
        </is>
      </c>
      <c r="G41" t="inlineStr">
        <is>
          <t>MALÅ</t>
        </is>
      </c>
      <c r="H41" t="inlineStr">
        <is>
          <t>Sveaskog</t>
        </is>
      </c>
      <c r="I41" t="n">
        <v>10.7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41852-2023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45174</v>
      </c>
      <c r="E42" s="1" t="n">
        <v>46308</v>
      </c>
      <c r="F42" t="inlineStr">
        <is>
          <t>VÄSTERBOTTENS LÄN</t>
        </is>
      </c>
      <c r="G42" t="inlineStr">
        <is>
          <t>MALÅ</t>
        </is>
      </c>
      <c r="I42" t="n">
        <v>3.5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39663-2023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45167</v>
      </c>
      <c r="E43" s="1" t="n">
        <v>46308</v>
      </c>
      <c r="F43" t="inlineStr">
        <is>
          <t>VÄSTERBOTTENS LÄN</t>
        </is>
      </c>
      <c r="G43" t="inlineStr">
        <is>
          <t>MALÅ</t>
        </is>
      </c>
      <c r="H43" t="inlineStr">
        <is>
          <t>Sveaskog</t>
        </is>
      </c>
      <c r="I43" t="n">
        <v>30.8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49835-2023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45210</v>
      </c>
      <c r="E44" s="1" t="n">
        <v>46308</v>
      </c>
      <c r="F44" t="inlineStr">
        <is>
          <t>VÄSTERBOTTENS LÄN</t>
        </is>
      </c>
      <c r="G44" t="inlineStr">
        <is>
          <t>MALÅ</t>
        </is>
      </c>
      <c r="I44" t="n">
        <v>1.2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49434-2023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45211</v>
      </c>
      <c r="E45" s="1" t="n">
        <v>46308</v>
      </c>
      <c r="F45" t="inlineStr">
        <is>
          <t>VÄSTERBOTTENS LÄN</t>
        </is>
      </c>
      <c r="G45" t="inlineStr">
        <is>
          <t>MALÅ</t>
        </is>
      </c>
      <c r="I45" t="n">
        <v>1.4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48731-2023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45203</v>
      </c>
      <c r="E46" s="1" t="n">
        <v>46308</v>
      </c>
      <c r="F46" t="inlineStr">
        <is>
          <t>VÄSTERBOTTENS LÄN</t>
        </is>
      </c>
      <c r="G46" t="inlineStr">
        <is>
          <t>MALÅ</t>
        </is>
      </c>
      <c r="I46" t="n">
        <v>1.2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39994-2023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45168</v>
      </c>
      <c r="E47" s="1" t="n">
        <v>46308</v>
      </c>
      <c r="F47" t="inlineStr">
        <is>
          <t>VÄSTERBOTTENS LÄN</t>
        </is>
      </c>
      <c r="G47" t="inlineStr">
        <is>
          <t>MALÅ</t>
        </is>
      </c>
      <c r="I47" t="n">
        <v>27.9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32767-2024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45516</v>
      </c>
      <c r="E48" s="1" t="n">
        <v>46308</v>
      </c>
      <c r="F48" t="inlineStr">
        <is>
          <t>VÄSTERBOTTENS LÄN</t>
        </is>
      </c>
      <c r="G48" t="inlineStr">
        <is>
          <t>MALÅ</t>
        </is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45807-2023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45189</v>
      </c>
      <c r="E49" s="1" t="n">
        <v>46308</v>
      </c>
      <c r="F49" t="inlineStr">
        <is>
          <t>VÄSTERBOTTENS LÄN</t>
        </is>
      </c>
      <c r="G49" t="inlineStr">
        <is>
          <t>MALÅ</t>
        </is>
      </c>
      <c r="I49" t="n">
        <v>3.3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14280-2024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45393</v>
      </c>
      <c r="E50" s="1" t="n">
        <v>46308</v>
      </c>
      <c r="F50" t="inlineStr">
        <is>
          <t>VÄSTERBOTTENS LÄN</t>
        </is>
      </c>
      <c r="G50" t="inlineStr">
        <is>
          <t>MALÅ</t>
        </is>
      </c>
      <c r="H50" t="inlineStr">
        <is>
          <t>Sveaskog</t>
        </is>
      </c>
      <c r="I50" t="n">
        <v>7.3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37688-2024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45541</v>
      </c>
      <c r="E51" s="1" t="n">
        <v>46308</v>
      </c>
      <c r="F51" t="inlineStr">
        <is>
          <t>VÄSTERBOTTENS LÄN</t>
        </is>
      </c>
      <c r="G51" t="inlineStr">
        <is>
          <t>MALÅ</t>
        </is>
      </c>
      <c r="I51" t="n">
        <v>13.3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48034-2025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45932</v>
      </c>
      <c r="E52" s="1" t="n">
        <v>46308</v>
      </c>
      <c r="F52" t="inlineStr">
        <is>
          <t>VÄSTERBOTTENS LÄN</t>
        </is>
      </c>
      <c r="G52" t="inlineStr">
        <is>
          <t>MALÅ</t>
        </is>
      </c>
      <c r="I52" t="n">
        <v>3.5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48058-2025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45932</v>
      </c>
      <c r="E53" s="1" t="n">
        <v>46308</v>
      </c>
      <c r="F53" t="inlineStr">
        <is>
          <t>VÄSTERBOTTENS LÄN</t>
        </is>
      </c>
      <c r="G53" t="inlineStr">
        <is>
          <t>MALÅ</t>
        </is>
      </c>
      <c r="I53" t="n">
        <v>1.1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26571-2026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46183</v>
      </c>
      <c r="E54" s="1" t="n">
        <v>46308</v>
      </c>
      <c r="F54" t="inlineStr">
        <is>
          <t>VÄSTERBOTTENS LÄN</t>
        </is>
      </c>
      <c r="G54" t="inlineStr">
        <is>
          <t>MALÅ</t>
        </is>
      </c>
      <c r="H54" t="inlineStr">
        <is>
          <t>Sveaskog</t>
        </is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48994-2025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45937</v>
      </c>
      <c r="E55" s="1" t="n">
        <v>46308</v>
      </c>
      <c r="F55" t="inlineStr">
        <is>
          <t>VÄSTERBOTTENS LÄN</t>
        </is>
      </c>
      <c r="G55" t="inlineStr">
        <is>
          <t>MALÅ</t>
        </is>
      </c>
      <c r="H55" t="inlineStr">
        <is>
          <t>Sveaskog</t>
        </is>
      </c>
      <c r="I55" t="n">
        <v>5.6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49657-2025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45939</v>
      </c>
      <c r="E56" s="1" t="n">
        <v>46308</v>
      </c>
      <c r="F56" t="inlineStr">
        <is>
          <t>VÄSTERBOTTENS LÄN</t>
        </is>
      </c>
      <c r="G56" t="inlineStr">
        <is>
          <t>MALÅ</t>
        </is>
      </c>
      <c r="H56" t="inlineStr">
        <is>
          <t>Sveaskog</t>
        </is>
      </c>
      <c r="I56" t="n">
        <v>15.3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49661-2025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45939</v>
      </c>
      <c r="E57" s="1" t="n">
        <v>46308</v>
      </c>
      <c r="F57" t="inlineStr">
        <is>
          <t>VÄSTERBOTTENS LÄN</t>
        </is>
      </c>
      <c r="G57" t="inlineStr">
        <is>
          <t>MALÅ</t>
        </is>
      </c>
      <c r="H57" t="inlineStr">
        <is>
          <t>Sveaskog</t>
        </is>
      </c>
      <c r="I57" t="n">
        <v>16.7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49202-2025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45938</v>
      </c>
      <c r="E58" s="1" t="n">
        <v>46308</v>
      </c>
      <c r="F58" t="inlineStr">
        <is>
          <t>VÄSTERBOTTENS LÄN</t>
        </is>
      </c>
      <c r="G58" t="inlineStr">
        <is>
          <t>MALÅ</t>
        </is>
      </c>
      <c r="H58" t="inlineStr">
        <is>
          <t>Sveaskog</t>
        </is>
      </c>
      <c r="I58" t="n">
        <v>7.5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48983-2025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45937</v>
      </c>
      <c r="E59" s="1" t="n">
        <v>46308</v>
      </c>
      <c r="F59" t="inlineStr">
        <is>
          <t>VÄSTERBOTTENS LÄN</t>
        </is>
      </c>
      <c r="G59" t="inlineStr">
        <is>
          <t>MALÅ</t>
        </is>
      </c>
      <c r="H59" t="inlineStr">
        <is>
          <t>SCA</t>
        </is>
      </c>
      <c r="I59" t="n">
        <v>11.7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49070-2025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45937</v>
      </c>
      <c r="E60" s="1" t="n">
        <v>46308</v>
      </c>
      <c r="F60" t="inlineStr">
        <is>
          <t>VÄSTERBOTTENS LÄN</t>
        </is>
      </c>
      <c r="G60" t="inlineStr">
        <is>
          <t>MALÅ</t>
        </is>
      </c>
      <c r="H60" t="inlineStr">
        <is>
          <t>Sveaskog</t>
        </is>
      </c>
      <c r="I60" t="n">
        <v>12.1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41126-2023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45173</v>
      </c>
      <c r="E61" s="1" t="n">
        <v>46308</v>
      </c>
      <c r="F61" t="inlineStr">
        <is>
          <t>VÄSTERBOTTENS LÄN</t>
        </is>
      </c>
      <c r="G61" t="inlineStr">
        <is>
          <t>MALÅ</t>
        </is>
      </c>
      <c r="I61" t="n">
        <v>8.5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49207-2025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45938</v>
      </c>
      <c r="E62" s="1" t="n">
        <v>46308</v>
      </c>
      <c r="F62" t="inlineStr">
        <is>
          <t>VÄSTERBOTTENS LÄN</t>
        </is>
      </c>
      <c r="G62" t="inlineStr">
        <is>
          <t>MALÅ</t>
        </is>
      </c>
      <c r="H62" t="inlineStr">
        <is>
          <t>Sveaskog</t>
        </is>
      </c>
      <c r="I62" t="n">
        <v>10.5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26998-2026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46185</v>
      </c>
      <c r="E63" s="1" t="n">
        <v>46308</v>
      </c>
      <c r="F63" t="inlineStr">
        <is>
          <t>VÄSTERBOTTENS LÄN</t>
        </is>
      </c>
      <c r="G63" t="inlineStr">
        <is>
          <t>MALÅ</t>
        </is>
      </c>
      <c r="H63" t="inlineStr">
        <is>
          <t>Sveaskog</t>
        </is>
      </c>
      <c r="I63" t="n">
        <v>11.5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53657-2023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45230</v>
      </c>
      <c r="E64" s="1" t="n">
        <v>46308</v>
      </c>
      <c r="F64" t="inlineStr">
        <is>
          <t>VÄSTERBOTTENS LÄN</t>
        </is>
      </c>
      <c r="G64" t="inlineStr">
        <is>
          <t>MALÅ</t>
        </is>
      </c>
      <c r="H64" t="inlineStr">
        <is>
          <t>Sveaskog</t>
        </is>
      </c>
      <c r="I64" t="n">
        <v>11.3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27466-2026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46189</v>
      </c>
      <c r="E65" s="1" t="n">
        <v>46308</v>
      </c>
      <c r="F65" t="inlineStr">
        <is>
          <t>VÄSTERBOTTENS LÄN</t>
        </is>
      </c>
      <c r="G65" t="inlineStr">
        <is>
          <t>MALÅ</t>
        </is>
      </c>
      <c r="H65" t="inlineStr">
        <is>
          <t>Sveaskog</t>
        </is>
      </c>
      <c r="I65" t="n">
        <v>9.9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27490-2026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46189</v>
      </c>
      <c r="E66" s="1" t="n">
        <v>46308</v>
      </c>
      <c r="F66" t="inlineStr">
        <is>
          <t>VÄSTERBOTTENS LÄN</t>
        </is>
      </c>
      <c r="G66" t="inlineStr">
        <is>
          <t>MALÅ</t>
        </is>
      </c>
      <c r="H66" t="inlineStr">
        <is>
          <t>Sveaskog</t>
        </is>
      </c>
      <c r="I66" t="n">
        <v>3.4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27468-2026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46189</v>
      </c>
      <c r="E67" s="1" t="n">
        <v>46308</v>
      </c>
      <c r="F67" t="inlineStr">
        <is>
          <t>VÄSTERBOTTENS LÄN</t>
        </is>
      </c>
      <c r="G67" t="inlineStr">
        <is>
          <t>MALÅ</t>
        </is>
      </c>
      <c r="H67" t="inlineStr">
        <is>
          <t>Sveaskog</t>
        </is>
      </c>
      <c r="I67" t="n">
        <v>23.5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27487-2026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46189</v>
      </c>
      <c r="E68" s="1" t="n">
        <v>46308</v>
      </c>
      <c r="F68" t="inlineStr">
        <is>
          <t>VÄSTERBOTTENS LÄN</t>
        </is>
      </c>
      <c r="G68" t="inlineStr">
        <is>
          <t>MALÅ</t>
        </is>
      </c>
      <c r="H68" t="inlineStr">
        <is>
          <t>Sveaskog</t>
        </is>
      </c>
      <c r="I68" t="n">
        <v>10.1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27474-2026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46189</v>
      </c>
      <c r="E69" s="1" t="n">
        <v>46308</v>
      </c>
      <c r="F69" t="inlineStr">
        <is>
          <t>VÄSTERBOTTENS LÄN</t>
        </is>
      </c>
      <c r="G69" t="inlineStr">
        <is>
          <t>MALÅ</t>
        </is>
      </c>
      <c r="H69" t="inlineStr">
        <is>
          <t>Sveaskog</t>
        </is>
      </c>
      <c r="I69" t="n">
        <v>5.9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27494-2026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46189</v>
      </c>
      <c r="E70" s="1" t="n">
        <v>46308</v>
      </c>
      <c r="F70" t="inlineStr">
        <is>
          <t>VÄSTERBOTTENS LÄN</t>
        </is>
      </c>
      <c r="G70" t="inlineStr">
        <is>
          <t>MALÅ</t>
        </is>
      </c>
      <c r="H70" t="inlineStr">
        <is>
          <t>Sveaskog</t>
        </is>
      </c>
      <c r="I70" t="n">
        <v>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51952-2025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45952</v>
      </c>
      <c r="E71" s="1" t="n">
        <v>46308</v>
      </c>
      <c r="F71" t="inlineStr">
        <is>
          <t>VÄSTERBOTTENS LÄN</t>
        </is>
      </c>
      <c r="G71" t="inlineStr">
        <is>
          <t>MALÅ</t>
        </is>
      </c>
      <c r="I71" t="n">
        <v>1.5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51963-2025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45952</v>
      </c>
      <c r="E72" s="1" t="n">
        <v>46308</v>
      </c>
      <c r="F72" t="inlineStr">
        <is>
          <t>VÄSTERBOTTENS LÄN</t>
        </is>
      </c>
      <c r="G72" t="inlineStr">
        <is>
          <t>MALÅ</t>
        </is>
      </c>
      <c r="H72" t="inlineStr">
        <is>
          <t>SCA</t>
        </is>
      </c>
      <c r="I72" t="n">
        <v>6.8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10121-2025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45719</v>
      </c>
      <c r="E73" s="1" t="n">
        <v>46308</v>
      </c>
      <c r="F73" t="inlineStr">
        <is>
          <t>VÄSTERBOTTENS LÄN</t>
        </is>
      </c>
      <c r="G73" t="inlineStr">
        <is>
          <t>MALÅ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29024-2026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46196</v>
      </c>
      <c r="E74" s="1" t="n">
        <v>46308</v>
      </c>
      <c r="F74" t="inlineStr">
        <is>
          <t>VÄSTERBOTTENS LÄN</t>
        </is>
      </c>
      <c r="G74" t="inlineStr">
        <is>
          <t>MALÅ</t>
        </is>
      </c>
      <c r="I74" t="n">
        <v>5.7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51935-2025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45952</v>
      </c>
      <c r="E75" s="1" t="n">
        <v>46308</v>
      </c>
      <c r="F75" t="inlineStr">
        <is>
          <t>VÄSTERBOTTENS LÄN</t>
        </is>
      </c>
      <c r="G75" t="inlineStr">
        <is>
          <t>MALÅ</t>
        </is>
      </c>
      <c r="I75" t="n">
        <v>18.6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51936-2025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45952</v>
      </c>
      <c r="E76" s="1" t="n">
        <v>46308</v>
      </c>
      <c r="F76" t="inlineStr">
        <is>
          <t>VÄSTERBOTTENS LÄN</t>
        </is>
      </c>
      <c r="G76" t="inlineStr">
        <is>
          <t>MALÅ</t>
        </is>
      </c>
      <c r="I76" t="n">
        <v>6.6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51950-2025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45952</v>
      </c>
      <c r="E77" s="1" t="n">
        <v>46308</v>
      </c>
      <c r="F77" t="inlineStr">
        <is>
          <t>VÄSTERBOTTENS LÄN</t>
        </is>
      </c>
      <c r="G77" t="inlineStr">
        <is>
          <t>MALÅ</t>
        </is>
      </c>
      <c r="I77" t="n">
        <v>3.1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51968-2025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45952</v>
      </c>
      <c r="E78" s="1" t="n">
        <v>46308</v>
      </c>
      <c r="F78" t="inlineStr">
        <is>
          <t>VÄSTERBOTTENS LÄN</t>
        </is>
      </c>
      <c r="G78" t="inlineStr">
        <is>
          <t>MALÅ</t>
        </is>
      </c>
      <c r="H78" t="inlineStr">
        <is>
          <t>SCA</t>
        </is>
      </c>
      <c r="I78" t="n">
        <v>1.4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51967-2025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45952</v>
      </c>
      <c r="E79" s="1" t="n">
        <v>46308</v>
      </c>
      <c r="F79" t="inlineStr">
        <is>
          <t>VÄSTERBOTTENS LÄN</t>
        </is>
      </c>
      <c r="G79" t="inlineStr">
        <is>
          <t>MALÅ</t>
        </is>
      </c>
      <c r="H79" t="inlineStr">
        <is>
          <t>SCA</t>
        </is>
      </c>
      <c r="I79" t="n">
        <v>2.5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29025-2026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46196</v>
      </c>
      <c r="E80" s="1" t="n">
        <v>46308</v>
      </c>
      <c r="F80" t="inlineStr">
        <is>
          <t>VÄSTERBOTTENS LÄN</t>
        </is>
      </c>
      <c r="G80" t="inlineStr">
        <is>
          <t>MALÅ</t>
        </is>
      </c>
      <c r="I80" t="n">
        <v>9.1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36687-2023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45152</v>
      </c>
      <c r="E81" s="1" t="n">
        <v>46308</v>
      </c>
      <c r="F81" t="inlineStr">
        <is>
          <t>VÄSTERBOTTENS LÄN</t>
        </is>
      </c>
      <c r="G81" t="inlineStr">
        <is>
          <t>MALÅ</t>
        </is>
      </c>
      <c r="I81" t="n">
        <v>13.3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36742-2023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45153</v>
      </c>
      <c r="E82" s="1" t="n">
        <v>46308</v>
      </c>
      <c r="F82" t="inlineStr">
        <is>
          <t>VÄSTERBOTTENS LÄN</t>
        </is>
      </c>
      <c r="G82" t="inlineStr">
        <is>
          <t>MALÅ</t>
        </is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36747-2023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45153</v>
      </c>
      <c r="E83" s="1" t="n">
        <v>46308</v>
      </c>
      <c r="F83" t="inlineStr">
        <is>
          <t>VÄSTERBOTTENS LÄN</t>
        </is>
      </c>
      <c r="G83" t="inlineStr">
        <is>
          <t>MALÅ</t>
        </is>
      </c>
      <c r="I83" t="n">
        <v>3.3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28803-2026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46198</v>
      </c>
      <c r="E84" s="1" t="n">
        <v>46308</v>
      </c>
      <c r="F84" t="inlineStr">
        <is>
          <t>VÄSTERBOTTENS LÄN</t>
        </is>
      </c>
      <c r="G84" t="inlineStr">
        <is>
          <t>MALÅ</t>
        </is>
      </c>
      <c r="I84" t="n">
        <v>5.7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53595-2025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45960</v>
      </c>
      <c r="E85" s="1" t="n">
        <v>46308</v>
      </c>
      <c r="F85" t="inlineStr">
        <is>
          <t>VÄSTERBOTTENS LÄN</t>
        </is>
      </c>
      <c r="G85" t="inlineStr">
        <is>
          <t>MALÅ</t>
        </is>
      </c>
      <c r="I85" t="n">
        <v>4.9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29450-2024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45483</v>
      </c>
      <c r="E86" s="1" t="n">
        <v>46308</v>
      </c>
      <c r="F86" t="inlineStr">
        <is>
          <t>VÄSTERBOTTENS LÄN</t>
        </is>
      </c>
      <c r="G86" t="inlineStr">
        <is>
          <t>MALÅ</t>
        </is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58838-2024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45636</v>
      </c>
      <c r="E87" s="1" t="n">
        <v>46308</v>
      </c>
      <c r="F87" t="inlineStr">
        <is>
          <t>VÄSTERBOTTENS LÄN</t>
        </is>
      </c>
      <c r="G87" t="inlineStr">
        <is>
          <t>MALÅ</t>
        </is>
      </c>
      <c r="I87" t="n">
        <v>2.3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54064-2025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45964</v>
      </c>
      <c r="E88" s="1" t="n">
        <v>46308</v>
      </c>
      <c r="F88" t="inlineStr">
        <is>
          <t>VÄSTERBOTTENS LÄN</t>
        </is>
      </c>
      <c r="G88" t="inlineStr">
        <is>
          <t>MALÅ</t>
        </is>
      </c>
      <c r="I88" t="n">
        <v>0.9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54628-2025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45966</v>
      </c>
      <c r="E89" s="1" t="n">
        <v>46308</v>
      </c>
      <c r="F89" t="inlineStr">
        <is>
          <t>VÄSTERBOTTENS LÄN</t>
        </is>
      </c>
      <c r="G89" t="inlineStr">
        <is>
          <t>MALÅ</t>
        </is>
      </c>
      <c r="I89" t="n">
        <v>3.2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54760-2025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45966</v>
      </c>
      <c r="E90" s="1" t="n">
        <v>46308</v>
      </c>
      <c r="F90" t="inlineStr">
        <is>
          <t>VÄSTERBOTTENS LÄN</t>
        </is>
      </c>
      <c r="G90" t="inlineStr">
        <is>
          <t>MALÅ</t>
        </is>
      </c>
      <c r="H90" t="inlineStr">
        <is>
          <t>Sveaskog</t>
        </is>
      </c>
      <c r="I90" t="n">
        <v>11.9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54742-2025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45966</v>
      </c>
      <c r="E91" s="1" t="n">
        <v>46308</v>
      </c>
      <c r="F91" t="inlineStr">
        <is>
          <t>VÄSTERBOTTENS LÄN</t>
        </is>
      </c>
      <c r="G91" t="inlineStr">
        <is>
          <t>MALÅ</t>
        </is>
      </c>
      <c r="H91" t="inlineStr">
        <is>
          <t>Sveaskog</t>
        </is>
      </c>
      <c r="I91" t="n">
        <v>14.2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54463-2025</t>
        </is>
      </c>
      <c r="B92" t="inlineStr">
        <is>
          <t>avverkningsanmälan</t>
        </is>
      </c>
      <c r="C92" t="inlineStr">
        <is>
          <t>Avverkning för annat ändamål</t>
        </is>
      </c>
      <c r="D92" s="1" t="n">
        <v>45964</v>
      </c>
      <c r="E92" s="1" t="n">
        <v>46308</v>
      </c>
      <c r="F92" t="inlineStr">
        <is>
          <t>VÄSTERBOTTENS LÄN</t>
        </is>
      </c>
      <c r="G92" t="inlineStr">
        <is>
          <t>MALÅ</t>
        </is>
      </c>
      <c r="I92" t="n">
        <v>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54455-2025</t>
        </is>
      </c>
      <c r="B93" t="inlineStr">
        <is>
          <t>avverkningsanmälan</t>
        </is>
      </c>
      <c r="C93" t="inlineStr">
        <is>
          <t>Avverkning för annat ändamål</t>
        </is>
      </c>
      <c r="D93" s="1" t="n">
        <v>45964</v>
      </c>
      <c r="E93" s="1" t="n">
        <v>46308</v>
      </c>
      <c r="F93" t="inlineStr">
        <is>
          <t>VÄSTERBOTTENS LÄN</t>
        </is>
      </c>
      <c r="G93" t="inlineStr">
        <is>
          <t>MALÅ</t>
        </is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11299-2025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45726</v>
      </c>
      <c r="E94" s="1" t="n">
        <v>46308</v>
      </c>
      <c r="F94" t="inlineStr">
        <is>
          <t>VÄSTERBOTTENS LÄN</t>
        </is>
      </c>
      <c r="G94" t="inlineStr">
        <is>
          <t>MALÅ</t>
        </is>
      </c>
      <c r="H94" t="inlineStr">
        <is>
          <t>Sveaskog</t>
        </is>
      </c>
      <c r="I94" t="n">
        <v>37.2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36695-2023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45152</v>
      </c>
      <c r="E95" s="1" t="n">
        <v>46308</v>
      </c>
      <c r="F95" t="inlineStr">
        <is>
          <t>VÄSTERBOTTENS LÄN</t>
        </is>
      </c>
      <c r="G95" t="inlineStr">
        <is>
          <t>MALÅ</t>
        </is>
      </c>
      <c r="I95" t="n">
        <v>4.6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56102-2025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45973</v>
      </c>
      <c r="E96" s="1" t="n">
        <v>46308</v>
      </c>
      <c r="F96" t="inlineStr">
        <is>
          <t>VÄSTERBOTTENS LÄN</t>
        </is>
      </c>
      <c r="G96" t="inlineStr">
        <is>
          <t>MALÅ</t>
        </is>
      </c>
      <c r="I96" t="n">
        <v>2.6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23631-2024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45454</v>
      </c>
      <c r="E97" s="1" t="n">
        <v>46308</v>
      </c>
      <c r="F97" t="inlineStr">
        <is>
          <t>VÄSTERBOTTENS LÄN</t>
        </is>
      </c>
      <c r="G97" t="inlineStr">
        <is>
          <t>MALÅ</t>
        </is>
      </c>
      <c r="I97" t="n">
        <v>9.4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67383-2021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44523</v>
      </c>
      <c r="E98" s="1" t="n">
        <v>46308</v>
      </c>
      <c r="F98" t="inlineStr">
        <is>
          <t>VÄSTERBOTTENS LÄN</t>
        </is>
      </c>
      <c r="G98" t="inlineStr">
        <is>
          <t>MALÅ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30502-2026</t>
        </is>
      </c>
      <c r="B99" t="inlineStr">
        <is>
          <t>avverkningsanmälan</t>
        </is>
      </c>
      <c r="C99" t="inlineStr">
        <is>
          <t>Avverkning för annat ändamål</t>
        </is>
      </c>
      <c r="D99" s="1" t="n">
        <v>46210</v>
      </c>
      <c r="E99" s="1" t="n">
        <v>46308</v>
      </c>
      <c r="F99" t="inlineStr">
        <is>
          <t>VÄSTERBOTTENS LÄN</t>
        </is>
      </c>
      <c r="G99" t="inlineStr">
        <is>
          <t>MALÅ</t>
        </is>
      </c>
      <c r="H99" t="inlineStr">
        <is>
          <t>Sveaskog</t>
        </is>
      </c>
      <c r="I99" t="n">
        <v>4.1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60168-2024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45639</v>
      </c>
      <c r="E100" s="1" t="n">
        <v>46308</v>
      </c>
      <c r="F100" t="inlineStr">
        <is>
          <t>VÄSTERBOTTENS LÄN</t>
        </is>
      </c>
      <c r="G100" t="inlineStr">
        <is>
          <t>MALÅ</t>
        </is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57499-2022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44889</v>
      </c>
      <c r="E101" s="1" t="n">
        <v>46308</v>
      </c>
      <c r="F101" t="inlineStr">
        <is>
          <t>VÄSTERBOTTENS LÄN</t>
        </is>
      </c>
      <c r="G101" t="inlineStr">
        <is>
          <t>MALÅ</t>
        </is>
      </c>
      <c r="I101" t="n">
        <v>10.2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45789-2023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45189</v>
      </c>
      <c r="E102" s="1" t="n">
        <v>46308</v>
      </c>
      <c r="F102" t="inlineStr">
        <is>
          <t>VÄSTERBOTTENS LÄN</t>
        </is>
      </c>
      <c r="G102" t="inlineStr">
        <is>
          <t>MALÅ</t>
        </is>
      </c>
      <c r="I102" t="n">
        <v>2.2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51387-2023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45219</v>
      </c>
      <c r="E103" s="1" t="n">
        <v>46308</v>
      </c>
      <c r="F103" t="inlineStr">
        <is>
          <t>VÄSTERBOTTENS LÄN</t>
        </is>
      </c>
      <c r="G103" t="inlineStr">
        <is>
          <t>MALÅ</t>
        </is>
      </c>
      <c r="H103" t="inlineStr">
        <is>
          <t>Sveaskog</t>
        </is>
      </c>
      <c r="I103" t="n">
        <v>1.2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46989-2023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45201</v>
      </c>
      <c r="E104" s="1" t="n">
        <v>46308</v>
      </c>
      <c r="F104" t="inlineStr">
        <is>
          <t>VÄSTERBOTTENS LÄN</t>
        </is>
      </c>
      <c r="G104" t="inlineStr">
        <is>
          <t>MALÅ</t>
        </is>
      </c>
      <c r="I104" t="n">
        <v>22.9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59801-2021</t>
        </is>
      </c>
      <c r="B105" t="inlineStr">
        <is>
          <t>avverkningsanmälan</t>
        </is>
      </c>
      <c r="C105" t="inlineStr">
        <is>
          <t>Avverkning för annat ändamål</t>
        </is>
      </c>
      <c r="D105" s="1" t="n">
        <v>44491</v>
      </c>
      <c r="E105" s="1" t="n">
        <v>46308</v>
      </c>
      <c r="F105" t="inlineStr">
        <is>
          <t>VÄSTERBOTTENS LÄN</t>
        </is>
      </c>
      <c r="G105" t="inlineStr">
        <is>
          <t>MALÅ</t>
        </is>
      </c>
      <c r="I105" t="n">
        <v>2.2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13432-2025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45736</v>
      </c>
      <c r="E106" s="1" t="n">
        <v>46308</v>
      </c>
      <c r="F106" t="inlineStr">
        <is>
          <t>VÄSTERBOTTENS LÄN</t>
        </is>
      </c>
      <c r="G106" t="inlineStr">
        <is>
          <t>MALÅ</t>
        </is>
      </c>
      <c r="I106" t="n">
        <v>6.2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32979-2024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45516</v>
      </c>
      <c r="E107" s="1" t="n">
        <v>46308</v>
      </c>
      <c r="F107" t="inlineStr">
        <is>
          <t>VÄSTERBOTTENS LÄN</t>
        </is>
      </c>
      <c r="G107" t="inlineStr">
        <is>
          <t>MALÅ</t>
        </is>
      </c>
      <c r="I107" t="n">
        <v>15.5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58258-2025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45985</v>
      </c>
      <c r="E108" s="1" t="n">
        <v>46308</v>
      </c>
      <c r="F108" t="inlineStr">
        <is>
          <t>VÄSTERBOTTENS LÄN</t>
        </is>
      </c>
      <c r="G108" t="inlineStr">
        <is>
          <t>MALÅ</t>
        </is>
      </c>
      <c r="I108" t="n">
        <v>0.7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56094-2025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45973</v>
      </c>
      <c r="E109" s="1" t="n">
        <v>46308</v>
      </c>
      <c r="F109" t="inlineStr">
        <is>
          <t>VÄSTERBOTTENS LÄN</t>
        </is>
      </c>
      <c r="G109" t="inlineStr">
        <is>
          <t>MALÅ</t>
        </is>
      </c>
      <c r="I109" t="n">
        <v>20.7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36676-2023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45152</v>
      </c>
      <c r="E110" s="1" t="n">
        <v>46308</v>
      </c>
      <c r="F110" t="inlineStr">
        <is>
          <t>VÄSTERBOTTENS LÄN</t>
        </is>
      </c>
      <c r="G110" t="inlineStr">
        <is>
          <t>MALÅ</t>
        </is>
      </c>
      <c r="I110" t="n">
        <v>16.6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37535-2023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45158</v>
      </c>
      <c r="E111" s="1" t="n">
        <v>46308</v>
      </c>
      <c r="F111" t="inlineStr">
        <is>
          <t>VÄSTERBOTTENS LÄN</t>
        </is>
      </c>
      <c r="G111" t="inlineStr">
        <is>
          <t>MALÅ</t>
        </is>
      </c>
      <c r="I111" t="n">
        <v>0.4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59448-2025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45989</v>
      </c>
      <c r="E112" s="1" t="n">
        <v>46308</v>
      </c>
      <c r="F112" t="inlineStr">
        <is>
          <t>VÄSTERBOTTENS LÄN</t>
        </is>
      </c>
      <c r="G112" t="inlineStr">
        <is>
          <t>MALÅ</t>
        </is>
      </c>
      <c r="H112" t="inlineStr">
        <is>
          <t>Sveaskog</t>
        </is>
      </c>
      <c r="I112" t="n">
        <v>5.5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59460-2025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45989</v>
      </c>
      <c r="E113" s="1" t="n">
        <v>46308</v>
      </c>
      <c r="F113" t="inlineStr">
        <is>
          <t>VÄSTERBOTTENS LÄN</t>
        </is>
      </c>
      <c r="G113" t="inlineStr">
        <is>
          <t>MALÅ</t>
        </is>
      </c>
      <c r="H113" t="inlineStr">
        <is>
          <t>Sveaskog</t>
        </is>
      </c>
      <c r="I113" t="n">
        <v>1.3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59440-2025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45989</v>
      </c>
      <c r="E114" s="1" t="n">
        <v>46308</v>
      </c>
      <c r="F114" t="inlineStr">
        <is>
          <t>VÄSTERBOTTENS LÄN</t>
        </is>
      </c>
      <c r="G114" t="inlineStr">
        <is>
          <t>MALÅ</t>
        </is>
      </c>
      <c r="H114" t="inlineStr">
        <is>
          <t>Sveaskog</t>
        </is>
      </c>
      <c r="I114" t="n">
        <v>2.8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59443-2025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45989</v>
      </c>
      <c r="E115" s="1" t="n">
        <v>46308</v>
      </c>
      <c r="F115" t="inlineStr">
        <is>
          <t>VÄSTERBOTTENS LÄN</t>
        </is>
      </c>
      <c r="G115" t="inlineStr">
        <is>
          <t>MALÅ</t>
        </is>
      </c>
      <c r="H115" t="inlineStr">
        <is>
          <t>Sveaskog</t>
        </is>
      </c>
      <c r="I115" t="n">
        <v>4.4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59457-2025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45989</v>
      </c>
      <c r="E116" s="1" t="n">
        <v>46308</v>
      </c>
      <c r="F116" t="inlineStr">
        <is>
          <t>VÄSTERBOTTENS LÄN</t>
        </is>
      </c>
      <c r="G116" t="inlineStr">
        <is>
          <t>MALÅ</t>
        </is>
      </c>
      <c r="H116" t="inlineStr">
        <is>
          <t>Sveaskog</t>
        </is>
      </c>
      <c r="I116" t="n">
        <v>12.4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24924-2025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45799</v>
      </c>
      <c r="E117" s="1" t="n">
        <v>46308</v>
      </c>
      <c r="F117" t="inlineStr">
        <is>
          <t>VÄSTERBOTTENS LÄN</t>
        </is>
      </c>
      <c r="G117" t="inlineStr">
        <is>
          <t>MALÅ</t>
        </is>
      </c>
      <c r="I117" t="n">
        <v>5.8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31529-2026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46223</v>
      </c>
      <c r="E118" s="1" t="n">
        <v>46308</v>
      </c>
      <c r="F118" t="inlineStr">
        <is>
          <t>VÄSTERBOTTENS LÄN</t>
        </is>
      </c>
      <c r="G118" t="inlineStr">
        <is>
          <t>MALÅ</t>
        </is>
      </c>
      <c r="H118" t="inlineStr">
        <is>
          <t>SCA</t>
        </is>
      </c>
      <c r="I118" t="n">
        <v>4.3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31535-2026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46223</v>
      </c>
      <c r="E119" s="1" t="n">
        <v>46308</v>
      </c>
      <c r="F119" t="inlineStr">
        <is>
          <t>VÄSTERBOTTENS LÄN</t>
        </is>
      </c>
      <c r="G119" t="inlineStr">
        <is>
          <t>MALÅ</t>
        </is>
      </c>
      <c r="H119" t="inlineStr">
        <is>
          <t>SCA</t>
        </is>
      </c>
      <c r="I119" t="n">
        <v>0.6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24925-2025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45799</v>
      </c>
      <c r="E120" s="1" t="n">
        <v>46308</v>
      </c>
      <c r="F120" t="inlineStr">
        <is>
          <t>VÄSTERBOTTENS LÄN</t>
        </is>
      </c>
      <c r="G120" t="inlineStr">
        <is>
          <t>MALÅ</t>
        </is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24681-2025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45798</v>
      </c>
      <c r="E121" s="1" t="n">
        <v>46308</v>
      </c>
      <c r="F121" t="inlineStr">
        <is>
          <t>VÄSTERBOTTENS LÄN</t>
        </is>
      </c>
      <c r="G121" t="inlineStr">
        <is>
          <t>MALÅ</t>
        </is>
      </c>
      <c r="I121" t="n">
        <v>1.9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29375-2023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45098</v>
      </c>
      <c r="E122" s="1" t="n">
        <v>46308</v>
      </c>
      <c r="F122" t="inlineStr">
        <is>
          <t>VÄSTERBOTTENS LÄN</t>
        </is>
      </c>
      <c r="G122" t="inlineStr">
        <is>
          <t>MALÅ</t>
        </is>
      </c>
      <c r="I122" t="n">
        <v>10.5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46063-2023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45196</v>
      </c>
      <c r="E123" s="1" t="n">
        <v>46308</v>
      </c>
      <c r="F123" t="inlineStr">
        <is>
          <t>VÄSTERBOTTENS LÄN</t>
        </is>
      </c>
      <c r="G123" t="inlineStr">
        <is>
          <t>MALÅ</t>
        </is>
      </c>
      <c r="I123" t="n">
        <v>3.1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26853-2026</t>
        </is>
      </c>
      <c r="B124" t="inlineStr">
        <is>
          <t>avverkningsanmälan</t>
        </is>
      </c>
      <c r="C124" t="inlineStr">
        <is>
          <t>Avverkning för annat ändamål</t>
        </is>
      </c>
      <c r="D124" s="1" t="n">
        <v>46185</v>
      </c>
      <c r="E124" s="1" t="n">
        <v>46308</v>
      </c>
      <c r="F124" t="inlineStr">
        <is>
          <t>VÄSTERBOTTENS LÄN</t>
        </is>
      </c>
      <c r="G124" t="inlineStr">
        <is>
          <t>MALÅ</t>
        </is>
      </c>
      <c r="I124" t="n">
        <v>1.6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26892-2022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44740</v>
      </c>
      <c r="E125" s="1" t="n">
        <v>46308</v>
      </c>
      <c r="F125" t="inlineStr">
        <is>
          <t>VÄSTERBOTTENS LÄN</t>
        </is>
      </c>
      <c r="G125" t="inlineStr">
        <is>
          <t>MALÅ</t>
        </is>
      </c>
      <c r="I125" t="n">
        <v>0.8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60786-2025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45999</v>
      </c>
      <c r="E126" s="1" t="n">
        <v>46308</v>
      </c>
      <c r="F126" t="inlineStr">
        <is>
          <t>VÄSTERBOTTENS LÄN</t>
        </is>
      </c>
      <c r="G126" t="inlineStr">
        <is>
          <t>MALÅ</t>
        </is>
      </c>
      <c r="I126" t="n">
        <v>0.7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61480-2025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46001</v>
      </c>
      <c r="E127" s="1" t="n">
        <v>46308</v>
      </c>
      <c r="F127" t="inlineStr">
        <is>
          <t>VÄSTERBOTTENS LÄN</t>
        </is>
      </c>
      <c r="G127" t="inlineStr">
        <is>
          <t>MALÅ</t>
        </is>
      </c>
      <c r="H127" t="inlineStr">
        <is>
          <t>Sveaskog</t>
        </is>
      </c>
      <c r="I127" t="n">
        <v>12.7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61785-2025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46002</v>
      </c>
      <c r="E128" s="1" t="n">
        <v>46308</v>
      </c>
      <c r="F128" t="inlineStr">
        <is>
          <t>VÄSTERBOTTENS LÄN</t>
        </is>
      </c>
      <c r="G128" t="inlineStr">
        <is>
          <t>MALÅ</t>
        </is>
      </c>
      <c r="I128" t="n">
        <v>9.1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61844-2025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46003</v>
      </c>
      <c r="E129" s="1" t="n">
        <v>46308</v>
      </c>
      <c r="F129" t="inlineStr">
        <is>
          <t>VÄSTERBOTTENS LÄN</t>
        </is>
      </c>
      <c r="G129" t="inlineStr">
        <is>
          <t>MALÅ</t>
        </is>
      </c>
      <c r="I129" t="n">
        <v>3.2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48572-2023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45202</v>
      </c>
      <c r="E130" s="1" t="n">
        <v>46308</v>
      </c>
      <c r="F130" t="inlineStr">
        <is>
          <t>VÄSTERBOTTENS LÄN</t>
        </is>
      </c>
      <c r="G130" t="inlineStr">
        <is>
          <t>MALÅ</t>
        </is>
      </c>
      <c r="I130" t="n">
        <v>2.4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31987-2026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46232</v>
      </c>
      <c r="E131" s="1" t="n">
        <v>46308</v>
      </c>
      <c r="F131" t="inlineStr">
        <is>
          <t>VÄSTERBOTTENS LÄN</t>
        </is>
      </c>
      <c r="G131" t="inlineStr">
        <is>
          <t>MALÅ</t>
        </is>
      </c>
      <c r="H131" t="inlineStr">
        <is>
          <t>SCA</t>
        </is>
      </c>
      <c r="I131" t="n">
        <v>1.7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48089-2024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45589</v>
      </c>
      <c r="E132" s="1" t="n">
        <v>46308</v>
      </c>
      <c r="F132" t="inlineStr">
        <is>
          <t>VÄSTERBOTTENS LÄN</t>
        </is>
      </c>
      <c r="G132" t="inlineStr">
        <is>
          <t>MALÅ</t>
        </is>
      </c>
      <c r="H132" t="inlineStr">
        <is>
          <t>SCA</t>
        </is>
      </c>
      <c r="I132" t="n">
        <v>5.1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51308-2023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45212</v>
      </c>
      <c r="E133" s="1" t="n">
        <v>46308</v>
      </c>
      <c r="F133" t="inlineStr">
        <is>
          <t>VÄSTERBOTTENS LÄN</t>
        </is>
      </c>
      <c r="G133" t="inlineStr">
        <is>
          <t>MALÅ</t>
        </is>
      </c>
      <c r="I133" t="n">
        <v>0.8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39214-2023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45166</v>
      </c>
      <c r="E134" s="1" t="n">
        <v>46308</v>
      </c>
      <c r="F134" t="inlineStr">
        <is>
          <t>VÄSTERBOTTENS LÄN</t>
        </is>
      </c>
      <c r="G134" t="inlineStr">
        <is>
          <t>MALÅ</t>
        </is>
      </c>
      <c r="I134" t="n">
        <v>2.2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51723-2023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45222</v>
      </c>
      <c r="E135" s="1" t="n">
        <v>46308</v>
      </c>
      <c r="F135" t="inlineStr">
        <is>
          <t>VÄSTERBOTTENS LÄN</t>
        </is>
      </c>
      <c r="G135" t="inlineStr">
        <is>
          <t>MALÅ</t>
        </is>
      </c>
      <c r="I135" t="n">
        <v>1.7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37629-2026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46276</v>
      </c>
      <c r="E136" s="1" t="n">
        <v>46308</v>
      </c>
      <c r="F136" t="inlineStr">
        <is>
          <t>VÄSTERBOTTENS LÄN</t>
        </is>
      </c>
      <c r="G136" t="inlineStr">
        <is>
          <t>MALÅ</t>
        </is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37631-2026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46276</v>
      </c>
      <c r="E137" s="1" t="n">
        <v>46308</v>
      </c>
      <c r="F137" t="inlineStr">
        <is>
          <t>VÄSTERBOTTENS LÄN</t>
        </is>
      </c>
      <c r="G137" t="inlineStr">
        <is>
          <t>MALÅ</t>
        </is>
      </c>
      <c r="I137" t="n">
        <v>1.1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37638-2026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46276</v>
      </c>
      <c r="E138" s="1" t="n">
        <v>46308</v>
      </c>
      <c r="F138" t="inlineStr">
        <is>
          <t>VÄSTERBOTTENS LÄN</t>
        </is>
      </c>
      <c r="G138" t="inlineStr">
        <is>
          <t>MALÅ</t>
        </is>
      </c>
      <c r="I138" t="n">
        <v>7.6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37867-2026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46279</v>
      </c>
      <c r="E139" s="1" t="n">
        <v>46308</v>
      </c>
      <c r="F139" t="inlineStr">
        <is>
          <t>VÄSTERBOTTENS LÄN</t>
        </is>
      </c>
      <c r="G139" t="inlineStr">
        <is>
          <t>MALÅ</t>
        </is>
      </c>
      <c r="H139" t="inlineStr">
        <is>
          <t>SCA</t>
        </is>
      </c>
      <c r="I139" t="n">
        <v>10.5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2116-2023</t>
        </is>
      </c>
      <c r="B140" t="inlineStr">
        <is>
          <t>avverkningsanmälan</t>
        </is>
      </c>
      <c r="C140" t="inlineStr">
        <is>
          <t>Avverkning för annat ändamål</t>
        </is>
      </c>
      <c r="D140" s="1" t="n">
        <v>44939</v>
      </c>
      <c r="E140" s="1" t="n">
        <v>46308</v>
      </c>
      <c r="F140" t="inlineStr">
        <is>
          <t>VÄSTERBOTTENS LÄN</t>
        </is>
      </c>
      <c r="G140" t="inlineStr">
        <is>
          <t>MALÅ</t>
        </is>
      </c>
      <c r="H140" t="inlineStr">
        <is>
          <t>SCA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263-2026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46027</v>
      </c>
      <c r="E141" s="1" t="n">
        <v>46308</v>
      </c>
      <c r="F141" t="inlineStr">
        <is>
          <t>VÄSTERBOTTENS LÄN</t>
        </is>
      </c>
      <c r="G141" t="inlineStr">
        <is>
          <t>MALÅ</t>
        </is>
      </c>
      <c r="I141" t="n">
        <v>1.1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278-2026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46027</v>
      </c>
      <c r="E142" s="1" t="n">
        <v>46308</v>
      </c>
      <c r="F142" t="inlineStr">
        <is>
          <t>VÄSTERBOTTENS LÄN</t>
        </is>
      </c>
      <c r="G142" t="inlineStr">
        <is>
          <t>MALÅ</t>
        </is>
      </c>
      <c r="I142" t="n">
        <v>2.1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1272-2026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46031</v>
      </c>
      <c r="E143" s="1" t="n">
        <v>46308</v>
      </c>
      <c r="F143" t="inlineStr">
        <is>
          <t>VÄSTERBOTTENS LÄN</t>
        </is>
      </c>
      <c r="G143" t="inlineStr">
        <is>
          <t>MALÅ</t>
        </is>
      </c>
      <c r="I143" t="n">
        <v>9.5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48348-2023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45201</v>
      </c>
      <c r="E144" s="1" t="n">
        <v>46308</v>
      </c>
      <c r="F144" t="inlineStr">
        <is>
          <t>VÄSTERBOTTENS LÄN</t>
        </is>
      </c>
      <c r="G144" t="inlineStr">
        <is>
          <t>MALÅ</t>
        </is>
      </c>
      <c r="I144" t="n">
        <v>2.2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1246-2026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46031</v>
      </c>
      <c r="E145" s="1" t="n">
        <v>46308</v>
      </c>
      <c r="F145" t="inlineStr">
        <is>
          <t>VÄSTERBOTTENS LÄN</t>
        </is>
      </c>
      <c r="G145" t="inlineStr">
        <is>
          <t>MALÅ</t>
        </is>
      </c>
      <c r="I145" t="n">
        <v>10.8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1325-2026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46031</v>
      </c>
      <c r="E146" s="1" t="n">
        <v>46308</v>
      </c>
      <c r="F146" t="inlineStr">
        <is>
          <t>VÄSTERBOTTENS LÄN</t>
        </is>
      </c>
      <c r="G146" t="inlineStr">
        <is>
          <t>MALÅ</t>
        </is>
      </c>
      <c r="I146" t="n">
        <v>6.4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1900-2026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46035</v>
      </c>
      <c r="E147" s="1" t="n">
        <v>46308</v>
      </c>
      <c r="F147" t="inlineStr">
        <is>
          <t>VÄSTERBOTTENS LÄN</t>
        </is>
      </c>
      <c r="G147" t="inlineStr">
        <is>
          <t>MALÅ</t>
        </is>
      </c>
      <c r="H147" t="inlineStr">
        <is>
          <t>Sveaskog</t>
        </is>
      </c>
      <c r="I147" t="n">
        <v>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46280-2023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45195</v>
      </c>
      <c r="E148" s="1" t="n">
        <v>46308</v>
      </c>
      <c r="F148" t="inlineStr">
        <is>
          <t>VÄSTERBOTTENS LÄN</t>
        </is>
      </c>
      <c r="G148" t="inlineStr">
        <is>
          <t>MALÅ</t>
        </is>
      </c>
      <c r="I148" t="n">
        <v>2.7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3471-2026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46042</v>
      </c>
      <c r="E149" s="1" t="n">
        <v>46308</v>
      </c>
      <c r="F149" t="inlineStr">
        <is>
          <t>VÄSTERBOTTENS LÄN</t>
        </is>
      </c>
      <c r="G149" t="inlineStr">
        <is>
          <t>MALÅ</t>
        </is>
      </c>
      <c r="H149" t="inlineStr">
        <is>
          <t>Sveaskog</t>
        </is>
      </c>
      <c r="I149" t="n">
        <v>7.5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35723-2025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45860</v>
      </c>
      <c r="E150" s="1" t="n">
        <v>46308</v>
      </c>
      <c r="F150" t="inlineStr">
        <is>
          <t>VÄSTERBOTTENS LÄN</t>
        </is>
      </c>
      <c r="G150" t="inlineStr">
        <is>
          <t>MALÅ</t>
        </is>
      </c>
      <c r="H150" t="inlineStr">
        <is>
          <t>Sveaskog</t>
        </is>
      </c>
      <c r="I150" t="n">
        <v>14.7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35844-2025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45861</v>
      </c>
      <c r="E151" s="1" t="n">
        <v>46308</v>
      </c>
      <c r="F151" t="inlineStr">
        <is>
          <t>VÄSTERBOTTENS LÄN</t>
        </is>
      </c>
      <c r="G151" t="inlineStr">
        <is>
          <t>MALÅ</t>
        </is>
      </c>
      <c r="H151" t="inlineStr">
        <is>
          <t>Sveaskog</t>
        </is>
      </c>
      <c r="I151" t="n">
        <v>8.4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35845-2025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45861</v>
      </c>
      <c r="E152" s="1" t="n">
        <v>46308</v>
      </c>
      <c r="F152" t="inlineStr">
        <is>
          <t>VÄSTERBOTTENS LÄN</t>
        </is>
      </c>
      <c r="G152" t="inlineStr">
        <is>
          <t>MALÅ</t>
        </is>
      </c>
      <c r="H152" t="inlineStr">
        <is>
          <t>Sveaskog</t>
        </is>
      </c>
      <c r="I152" t="n">
        <v>10.9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35728-2025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45860</v>
      </c>
      <c r="E153" s="1" t="n">
        <v>46308</v>
      </c>
      <c r="F153" t="inlineStr">
        <is>
          <t>VÄSTERBOTTENS LÄN</t>
        </is>
      </c>
      <c r="G153" t="inlineStr">
        <is>
          <t>MALÅ</t>
        </is>
      </c>
      <c r="H153" t="inlineStr">
        <is>
          <t>Sveaskog</t>
        </is>
      </c>
      <c r="I153" t="n">
        <v>14.8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35851-2025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45861</v>
      </c>
      <c r="E154" s="1" t="n">
        <v>46308</v>
      </c>
      <c r="F154" t="inlineStr">
        <is>
          <t>VÄSTERBOTTENS LÄN</t>
        </is>
      </c>
      <c r="G154" t="inlineStr">
        <is>
          <t>MALÅ</t>
        </is>
      </c>
      <c r="H154" t="inlineStr">
        <is>
          <t>Sveaskog</t>
        </is>
      </c>
      <c r="I154" t="n">
        <v>7.5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35856-2025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45861</v>
      </c>
      <c r="E155" s="1" t="n">
        <v>46308</v>
      </c>
      <c r="F155" t="inlineStr">
        <is>
          <t>VÄSTERBOTTENS LÄN</t>
        </is>
      </c>
      <c r="G155" t="inlineStr">
        <is>
          <t>MALÅ</t>
        </is>
      </c>
      <c r="H155" t="inlineStr">
        <is>
          <t>Sveaskog</t>
        </is>
      </c>
      <c r="I155" t="n">
        <v>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39538-2026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46289</v>
      </c>
      <c r="E156" s="1" t="n">
        <v>46308</v>
      </c>
      <c r="F156" t="inlineStr">
        <is>
          <t>VÄSTERBOTTENS LÄN</t>
        </is>
      </c>
      <c r="G156" t="inlineStr">
        <is>
          <t>MALÅ</t>
        </is>
      </c>
      <c r="H156" t="inlineStr">
        <is>
          <t>SCA</t>
        </is>
      </c>
      <c r="I156" t="n">
        <v>7.3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35712-2026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46265</v>
      </c>
      <c r="E157" s="1" t="n">
        <v>46308</v>
      </c>
      <c r="F157" t="inlineStr">
        <is>
          <t>VÄSTERBOTTENS LÄN</t>
        </is>
      </c>
      <c r="G157" t="inlineStr">
        <is>
          <t>MALÅ</t>
        </is>
      </c>
      <c r="H157" t="inlineStr">
        <is>
          <t>SCA</t>
        </is>
      </c>
      <c r="I157" t="n">
        <v>11.5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33230-2026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46246</v>
      </c>
      <c r="E158" s="1" t="n">
        <v>46308</v>
      </c>
      <c r="F158" t="inlineStr">
        <is>
          <t>VÄSTERBOTTENS LÄN</t>
        </is>
      </c>
      <c r="G158" t="inlineStr">
        <is>
          <t>MALÅ</t>
        </is>
      </c>
      <c r="I158" t="n">
        <v>1.6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39653-2026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46289</v>
      </c>
      <c r="E159" s="1" t="n">
        <v>46308</v>
      </c>
      <c r="F159" t="inlineStr">
        <is>
          <t>VÄSTERBOTTENS LÄN</t>
        </is>
      </c>
      <c r="G159" t="inlineStr">
        <is>
          <t>MALÅ</t>
        </is>
      </c>
      <c r="H159" t="inlineStr">
        <is>
          <t>Sveaskog</t>
        </is>
      </c>
      <c r="I159" t="n">
        <v>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39644-2026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46289</v>
      </c>
      <c r="E160" s="1" t="n">
        <v>46308</v>
      </c>
      <c r="F160" t="inlineStr">
        <is>
          <t>VÄSTERBOTTENS LÄN</t>
        </is>
      </c>
      <c r="G160" t="inlineStr">
        <is>
          <t>MALÅ</t>
        </is>
      </c>
      <c r="H160" t="inlineStr">
        <is>
          <t>Sveaskog</t>
        </is>
      </c>
      <c r="I160" t="n">
        <v>16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39657-2026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46289</v>
      </c>
      <c r="E161" s="1" t="n">
        <v>46308</v>
      </c>
      <c r="F161" t="inlineStr">
        <is>
          <t>VÄSTERBOTTENS LÄN</t>
        </is>
      </c>
      <c r="G161" t="inlineStr">
        <is>
          <t>MALÅ</t>
        </is>
      </c>
      <c r="H161" t="inlineStr">
        <is>
          <t>Sveaskog</t>
        </is>
      </c>
      <c r="I161" t="n">
        <v>8.199999999999999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39639-2026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46289</v>
      </c>
      <c r="E162" s="1" t="n">
        <v>46308</v>
      </c>
      <c r="F162" t="inlineStr">
        <is>
          <t>VÄSTERBOTTENS LÄN</t>
        </is>
      </c>
      <c r="G162" t="inlineStr">
        <is>
          <t>MALÅ</t>
        </is>
      </c>
      <c r="H162" t="inlineStr">
        <is>
          <t>Sveaskog</t>
        </is>
      </c>
      <c r="I162" t="n">
        <v>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37119-2025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45875</v>
      </c>
      <c r="E163" s="1" t="n">
        <v>46308</v>
      </c>
      <c r="F163" t="inlineStr">
        <is>
          <t>VÄSTERBOTTENS LÄN</t>
        </is>
      </c>
      <c r="G163" t="inlineStr">
        <is>
          <t>MALÅ</t>
        </is>
      </c>
      <c r="I163" t="n">
        <v>5.9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58893-2025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45987</v>
      </c>
      <c r="E164" s="1" t="n">
        <v>46308</v>
      </c>
      <c r="F164" t="inlineStr">
        <is>
          <t>VÄSTERBOTTENS LÄN</t>
        </is>
      </c>
      <c r="G164" t="inlineStr">
        <is>
          <t>MALÅ</t>
        </is>
      </c>
      <c r="I164" t="n">
        <v>19.2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8757-2026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46066</v>
      </c>
      <c r="E165" s="1" t="n">
        <v>46308</v>
      </c>
      <c r="F165" t="inlineStr">
        <is>
          <t>VÄSTERBOTTENS LÄN</t>
        </is>
      </c>
      <c r="G165" t="inlineStr">
        <is>
          <t>MALÅ</t>
        </is>
      </c>
      <c r="H165" t="inlineStr">
        <is>
          <t>SCA</t>
        </is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8648-2026</t>
        </is>
      </c>
      <c r="B166" t="inlineStr">
        <is>
          <t>avverkningsanmälan</t>
        </is>
      </c>
      <c r="C166" t="inlineStr">
        <is>
          <t>Avverkning för annat ändamål</t>
        </is>
      </c>
      <c r="D166" s="1" t="n">
        <v>46066</v>
      </c>
      <c r="E166" s="1" t="n">
        <v>46308</v>
      </c>
      <c r="F166" t="inlineStr">
        <is>
          <t>VÄSTERBOTTENS LÄN</t>
        </is>
      </c>
      <c r="G166" t="inlineStr">
        <is>
          <t>MALÅ</t>
        </is>
      </c>
      <c r="I166" t="n">
        <v>2.3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33543-2026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46248</v>
      </c>
      <c r="E167" s="1" t="n">
        <v>46308</v>
      </c>
      <c r="F167" t="inlineStr">
        <is>
          <t>VÄSTERBOTTENS LÄN</t>
        </is>
      </c>
      <c r="G167" t="inlineStr">
        <is>
          <t>MALÅ</t>
        </is>
      </c>
      <c r="I167" t="n">
        <v>2.4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9311-2026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46070</v>
      </c>
      <c r="E168" s="1" t="n">
        <v>46308</v>
      </c>
      <c r="F168" t="inlineStr">
        <is>
          <t>VÄSTERBOTTENS LÄN</t>
        </is>
      </c>
      <c r="G168" t="inlineStr">
        <is>
          <t>MALÅ</t>
        </is>
      </c>
      <c r="I168" t="n">
        <v>6.3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9748-2026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46072</v>
      </c>
      <c r="E169" s="1" t="n">
        <v>46308</v>
      </c>
      <c r="F169" t="inlineStr">
        <is>
          <t>VÄSTERBOTTENS LÄN</t>
        </is>
      </c>
      <c r="G169" t="inlineStr">
        <is>
          <t>MALÅ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1207-2026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46031</v>
      </c>
      <c r="E170" s="1" t="n">
        <v>46308</v>
      </c>
      <c r="F170" t="inlineStr">
        <is>
          <t>VÄSTERBOTTENS LÄN</t>
        </is>
      </c>
      <c r="G170" t="inlineStr">
        <is>
          <t>MALÅ</t>
        </is>
      </c>
      <c r="I170" t="n">
        <v>8.199999999999999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43952-2023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45187</v>
      </c>
      <c r="E171" s="1" t="n">
        <v>46308</v>
      </c>
      <c r="F171" t="inlineStr">
        <is>
          <t>VÄSTERBOTTENS LÄN</t>
        </is>
      </c>
      <c r="G171" t="inlineStr">
        <is>
          <t>MALÅ</t>
        </is>
      </c>
      <c r="H171" t="inlineStr">
        <is>
          <t>SCA</t>
        </is>
      </c>
      <c r="I171" t="n">
        <v>11.5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11704-2026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46084</v>
      </c>
      <c r="E172" s="1" t="n">
        <v>46308</v>
      </c>
      <c r="F172" t="inlineStr">
        <is>
          <t>VÄSTERBOTTENS LÄN</t>
        </is>
      </c>
      <c r="G172" t="inlineStr">
        <is>
          <t>MALÅ</t>
        </is>
      </c>
      <c r="I172" t="n">
        <v>3.3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36706-2023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45152</v>
      </c>
      <c r="E173" s="1" t="n">
        <v>46308</v>
      </c>
      <c r="F173" t="inlineStr">
        <is>
          <t>VÄSTERBOTTENS LÄN</t>
        </is>
      </c>
      <c r="G173" t="inlineStr">
        <is>
          <t>MALÅ</t>
        </is>
      </c>
      <c r="I173" t="n">
        <v>41.7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33764-2026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46251</v>
      </c>
      <c r="E174" s="1" t="n">
        <v>46308</v>
      </c>
      <c r="F174" t="inlineStr">
        <is>
          <t>VÄSTERBOTTENS LÄN</t>
        </is>
      </c>
      <c r="G174" t="inlineStr">
        <is>
          <t>MALÅ</t>
        </is>
      </c>
      <c r="I174" t="n">
        <v>4.6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45102-2023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45190</v>
      </c>
      <c r="E175" s="1" t="n">
        <v>46308</v>
      </c>
      <c r="F175" t="inlineStr">
        <is>
          <t>VÄSTERBOTTENS LÄN</t>
        </is>
      </c>
      <c r="G175" t="inlineStr">
        <is>
          <t>MALÅ</t>
        </is>
      </c>
      <c r="I175" t="n">
        <v>0.4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33240-2026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46246</v>
      </c>
      <c r="E176" s="1" t="n">
        <v>46308</v>
      </c>
      <c r="F176" t="inlineStr">
        <is>
          <t>VÄSTERBOTTENS LÄN</t>
        </is>
      </c>
      <c r="G176" t="inlineStr">
        <is>
          <t>MALÅ</t>
        </is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34353-2022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44792</v>
      </c>
      <c r="E177" s="1" t="n">
        <v>46308</v>
      </c>
      <c r="F177" t="inlineStr">
        <is>
          <t>VÄSTERBOTTENS LÄN</t>
        </is>
      </c>
      <c r="G177" t="inlineStr">
        <is>
          <t>MALÅ</t>
        </is>
      </c>
      <c r="I177" t="n">
        <v>1.5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34247-2026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46253</v>
      </c>
      <c r="E178" s="1" t="n">
        <v>46308</v>
      </c>
      <c r="F178" t="inlineStr">
        <is>
          <t>VÄSTERBOTTENS LÄN</t>
        </is>
      </c>
      <c r="G178" t="inlineStr">
        <is>
          <t>MALÅ</t>
        </is>
      </c>
      <c r="H178" t="inlineStr">
        <is>
          <t>Sveaskog</t>
        </is>
      </c>
      <c r="I178" t="n">
        <v>10.7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34255-2026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46253</v>
      </c>
      <c r="E179" s="1" t="n">
        <v>46308</v>
      </c>
      <c r="F179" t="inlineStr">
        <is>
          <t>VÄSTERBOTTENS LÄN</t>
        </is>
      </c>
      <c r="G179" t="inlineStr">
        <is>
          <t>MALÅ</t>
        </is>
      </c>
      <c r="H179" t="inlineStr">
        <is>
          <t>Sveaskog</t>
        </is>
      </c>
      <c r="I179" t="n">
        <v>8.800000000000001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34259-2026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46253</v>
      </c>
      <c r="E180" s="1" t="n">
        <v>46308</v>
      </c>
      <c r="F180" t="inlineStr">
        <is>
          <t>VÄSTERBOTTENS LÄN</t>
        </is>
      </c>
      <c r="G180" t="inlineStr">
        <is>
          <t>MALÅ</t>
        </is>
      </c>
      <c r="H180" t="inlineStr">
        <is>
          <t>Sveaskog</t>
        </is>
      </c>
      <c r="I180" t="n">
        <v>18.4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68036-2021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44525</v>
      </c>
      <c r="E181" s="1" t="n">
        <v>46308</v>
      </c>
      <c r="F181" t="inlineStr">
        <is>
          <t>VÄSTERBOTTENS LÄN</t>
        </is>
      </c>
      <c r="G181" t="inlineStr">
        <is>
          <t>MALÅ</t>
        </is>
      </c>
      <c r="I181" t="n">
        <v>1.2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34256-2026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46253</v>
      </c>
      <c r="E182" s="1" t="n">
        <v>46308</v>
      </c>
      <c r="F182" t="inlineStr">
        <is>
          <t>VÄSTERBOTTENS LÄN</t>
        </is>
      </c>
      <c r="G182" t="inlineStr">
        <is>
          <t>MALÅ</t>
        </is>
      </c>
      <c r="H182" t="inlineStr">
        <is>
          <t>Sveaskog</t>
        </is>
      </c>
      <c r="I182" t="n">
        <v>15.6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34258-2026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46253</v>
      </c>
      <c r="E183" s="1" t="n">
        <v>46308</v>
      </c>
      <c r="F183" t="inlineStr">
        <is>
          <t>VÄSTERBOTTENS LÄN</t>
        </is>
      </c>
      <c r="G183" t="inlineStr">
        <is>
          <t>MALÅ</t>
        </is>
      </c>
      <c r="H183" t="inlineStr">
        <is>
          <t>Sveaskog</t>
        </is>
      </c>
      <c r="I183" t="n">
        <v>13.7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58894-2025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45987</v>
      </c>
      <c r="E184" s="1" t="n">
        <v>46308</v>
      </c>
      <c r="F184" t="inlineStr">
        <is>
          <t>VÄSTERBOTTENS LÄN</t>
        </is>
      </c>
      <c r="G184" t="inlineStr">
        <is>
          <t>MALÅ</t>
        </is>
      </c>
      <c r="I184" t="n">
        <v>1.7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13773-2026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46097</v>
      </c>
      <c r="E185" s="1" t="n">
        <v>46308</v>
      </c>
      <c r="F185" t="inlineStr">
        <is>
          <t>VÄSTERBOTTENS LÄN</t>
        </is>
      </c>
      <c r="G185" t="inlineStr">
        <is>
          <t>MALÅ</t>
        </is>
      </c>
      <c r="I185" t="n">
        <v>2.7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13775-2026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46097</v>
      </c>
      <c r="E186" s="1" t="n">
        <v>46308</v>
      </c>
      <c r="F186" t="inlineStr">
        <is>
          <t>VÄSTERBOTTENS LÄN</t>
        </is>
      </c>
      <c r="G186" t="inlineStr">
        <is>
          <t>MALÅ</t>
        </is>
      </c>
      <c r="I186" t="n">
        <v>0.9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43501-2023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45184</v>
      </c>
      <c r="E187" s="1" t="n">
        <v>46308</v>
      </c>
      <c r="F187" t="inlineStr">
        <is>
          <t>VÄSTERBOTTENS LÄN</t>
        </is>
      </c>
      <c r="G187" t="inlineStr">
        <is>
          <t>MALÅ</t>
        </is>
      </c>
      <c r="H187" t="inlineStr">
        <is>
          <t>Sveaskog</t>
        </is>
      </c>
      <c r="I187" t="n">
        <v>3.8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34249-2026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46253</v>
      </c>
      <c r="E188" s="1" t="n">
        <v>46308</v>
      </c>
      <c r="F188" t="inlineStr">
        <is>
          <t>VÄSTERBOTTENS LÄN</t>
        </is>
      </c>
      <c r="G188" t="inlineStr">
        <is>
          <t>MALÅ</t>
        </is>
      </c>
      <c r="H188" t="inlineStr">
        <is>
          <t>Sveaskog</t>
        </is>
      </c>
      <c r="I188" t="n">
        <v>3.1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15286-2026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46105</v>
      </c>
      <c r="E189" s="1" t="n">
        <v>46308</v>
      </c>
      <c r="F189" t="inlineStr">
        <is>
          <t>VÄSTERBOTTENS LÄN</t>
        </is>
      </c>
      <c r="G189" t="inlineStr">
        <is>
          <t>MALÅ</t>
        </is>
      </c>
      <c r="H189" t="inlineStr">
        <is>
          <t>Sveaskog</t>
        </is>
      </c>
      <c r="I189" t="n">
        <v>9.1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15306-2026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46105</v>
      </c>
      <c r="E190" s="1" t="n">
        <v>46308</v>
      </c>
      <c r="F190" t="inlineStr">
        <is>
          <t>VÄSTERBOTTENS LÄN</t>
        </is>
      </c>
      <c r="G190" t="inlineStr">
        <is>
          <t>MALÅ</t>
        </is>
      </c>
      <c r="H190" t="inlineStr">
        <is>
          <t>Sveaskog</t>
        </is>
      </c>
      <c r="I190" t="n">
        <v>19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281-2023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44928</v>
      </c>
      <c r="E191" s="1" t="n">
        <v>46308</v>
      </c>
      <c r="F191" t="inlineStr">
        <is>
          <t>VÄSTERBOTTENS LÄN</t>
        </is>
      </c>
      <c r="G191" t="inlineStr">
        <is>
          <t>MALÅ</t>
        </is>
      </c>
      <c r="I191" t="n">
        <v>1.5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59561-2024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45638</v>
      </c>
      <c r="E192" s="1" t="n">
        <v>46308</v>
      </c>
      <c r="F192" t="inlineStr">
        <is>
          <t>VÄSTERBOTTENS LÄN</t>
        </is>
      </c>
      <c r="G192" t="inlineStr">
        <is>
          <t>MALÅ</t>
        </is>
      </c>
      <c r="I192" t="n">
        <v>11.4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17020-2026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46114</v>
      </c>
      <c r="E193" s="1" t="n">
        <v>46308</v>
      </c>
      <c r="F193" t="inlineStr">
        <is>
          <t>VÄSTERBOTTENS LÄN</t>
        </is>
      </c>
      <c r="G193" t="inlineStr">
        <is>
          <t>MALÅ</t>
        </is>
      </c>
      <c r="H193" t="inlineStr">
        <is>
          <t>Sveaskog</t>
        </is>
      </c>
      <c r="I193" t="n">
        <v>19.7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52270-2023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45217</v>
      </c>
      <c r="E194" s="1" t="n">
        <v>46308</v>
      </c>
      <c r="F194" t="inlineStr">
        <is>
          <t>VÄSTERBOTTENS LÄN</t>
        </is>
      </c>
      <c r="G194" t="inlineStr">
        <is>
          <t>MALÅ</t>
        </is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35183-2026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46260</v>
      </c>
      <c r="E195" s="1" t="n">
        <v>46308</v>
      </c>
      <c r="F195" t="inlineStr">
        <is>
          <t>VÄSTERBOTTENS LÄN</t>
        </is>
      </c>
      <c r="G195" t="inlineStr">
        <is>
          <t>MALÅ</t>
        </is>
      </c>
      <c r="H195" t="inlineStr">
        <is>
          <t>Sveaskog</t>
        </is>
      </c>
      <c r="I195" t="n">
        <v>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19351-2026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46133</v>
      </c>
      <c r="E196" s="1" t="n">
        <v>46308</v>
      </c>
      <c r="F196" t="inlineStr">
        <is>
          <t>VÄSTERBOTTENS LÄN</t>
        </is>
      </c>
      <c r="G196" t="inlineStr">
        <is>
          <t>MALÅ</t>
        </is>
      </c>
      <c r="I196" t="n">
        <v>2.6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19286-2026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46133</v>
      </c>
      <c r="E197" s="1" t="n">
        <v>46308</v>
      </c>
      <c r="F197" t="inlineStr">
        <is>
          <t>VÄSTERBOTTENS LÄN</t>
        </is>
      </c>
      <c r="G197" t="inlineStr">
        <is>
          <t>MALÅ</t>
        </is>
      </c>
      <c r="H197" t="inlineStr">
        <is>
          <t>Sveaskog</t>
        </is>
      </c>
      <c r="I197" t="n">
        <v>55.9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19290-2026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46133</v>
      </c>
      <c r="E198" s="1" t="n">
        <v>46308</v>
      </c>
      <c r="F198" t="inlineStr">
        <is>
          <t>VÄSTERBOTTENS LÄN</t>
        </is>
      </c>
      <c r="G198" t="inlineStr">
        <is>
          <t>MALÅ</t>
        </is>
      </c>
      <c r="H198" t="inlineStr">
        <is>
          <t>Sveaskog</t>
        </is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19349-2026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46133</v>
      </c>
      <c r="E199" s="1" t="n">
        <v>46308</v>
      </c>
      <c r="F199" t="inlineStr">
        <is>
          <t>VÄSTERBOTTENS LÄN</t>
        </is>
      </c>
      <c r="G199" t="inlineStr">
        <is>
          <t>MALÅ</t>
        </is>
      </c>
      <c r="I199" t="n">
        <v>2.1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39304-2023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45166</v>
      </c>
      <c r="E200" s="1" t="n">
        <v>46308</v>
      </c>
      <c r="F200" t="inlineStr">
        <is>
          <t>VÄSTERBOTTENS LÄN</t>
        </is>
      </c>
      <c r="G200" t="inlineStr">
        <is>
          <t>MALÅ</t>
        </is>
      </c>
      <c r="H200" t="inlineStr">
        <is>
          <t>Kyrkan</t>
        </is>
      </c>
      <c r="I200" t="n">
        <v>27.3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49839-2023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45210</v>
      </c>
      <c r="E201" s="1" t="n">
        <v>46308</v>
      </c>
      <c r="F201" t="inlineStr">
        <is>
          <t>VÄSTERBOTTENS LÄN</t>
        </is>
      </c>
      <c r="G201" t="inlineStr">
        <is>
          <t>MALÅ</t>
        </is>
      </c>
      <c r="I201" t="n">
        <v>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49840-2023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45210</v>
      </c>
      <c r="E202" s="1" t="n">
        <v>46308</v>
      </c>
      <c r="F202" t="inlineStr">
        <is>
          <t>VÄSTERBOTTENS LÄN</t>
        </is>
      </c>
      <c r="G202" t="inlineStr">
        <is>
          <t>MALÅ</t>
        </is>
      </c>
      <c r="I202" t="n">
        <v>3.4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36286-2025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45867</v>
      </c>
      <c r="E203" s="1" t="n">
        <v>46308</v>
      </c>
      <c r="F203" t="inlineStr">
        <is>
          <t>VÄSTERBOTTENS LÄN</t>
        </is>
      </c>
      <c r="G203" t="inlineStr">
        <is>
          <t>MALÅ</t>
        </is>
      </c>
      <c r="I203" t="n">
        <v>8.300000000000001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20234-2023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45054</v>
      </c>
      <c r="E204" s="1" t="n">
        <v>46308</v>
      </c>
      <c r="F204" t="inlineStr">
        <is>
          <t>VÄSTERBOTTENS LÄN</t>
        </is>
      </c>
      <c r="G204" t="inlineStr">
        <is>
          <t>MALÅ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13001-2023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45002</v>
      </c>
      <c r="E205" s="1" t="n">
        <v>46308</v>
      </c>
      <c r="F205" t="inlineStr">
        <is>
          <t>VÄSTERBOTTENS LÄN</t>
        </is>
      </c>
      <c r="G205" t="inlineStr">
        <is>
          <t>MALÅ</t>
        </is>
      </c>
      <c r="H205" t="inlineStr">
        <is>
          <t>SCA</t>
        </is>
      </c>
      <c r="I205" t="n">
        <v>3.3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56997-2023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45244</v>
      </c>
      <c r="E206" s="1" t="n">
        <v>46308</v>
      </c>
      <c r="F206" t="inlineStr">
        <is>
          <t>VÄSTERBOTTENS LÄN</t>
        </is>
      </c>
      <c r="G206" t="inlineStr">
        <is>
          <t>MALÅ</t>
        </is>
      </c>
      <c r="I206" t="n">
        <v>1.8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53256-2023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45229</v>
      </c>
      <c r="E207" s="1" t="n">
        <v>46308</v>
      </c>
      <c r="F207" t="inlineStr">
        <is>
          <t>VÄSTERBOTTENS LÄN</t>
        </is>
      </c>
      <c r="G207" t="inlineStr">
        <is>
          <t>MALÅ</t>
        </is>
      </c>
      <c r="I207" t="n">
        <v>4.6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16212-2025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45750</v>
      </c>
      <c r="E208" s="1" t="n">
        <v>46308</v>
      </c>
      <c r="F208" t="inlineStr">
        <is>
          <t>VÄSTERBOTTENS LÄN</t>
        </is>
      </c>
      <c r="G208" t="inlineStr">
        <is>
          <t>MALÅ</t>
        </is>
      </c>
      <c r="I208" t="n">
        <v>6.1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15847-2023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45022</v>
      </c>
      <c r="E209" s="1" t="n">
        <v>46308</v>
      </c>
      <c r="F209" t="inlineStr">
        <is>
          <t>VÄSTERBOTTENS LÄN</t>
        </is>
      </c>
      <c r="G209" t="inlineStr">
        <is>
          <t>MALÅ</t>
        </is>
      </c>
      <c r="I209" t="n">
        <v>2.3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15850-2023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45022</v>
      </c>
      <c r="E210" s="1" t="n">
        <v>46308</v>
      </c>
      <c r="F210" t="inlineStr">
        <is>
          <t>VÄSTERBOTTENS LÄN</t>
        </is>
      </c>
      <c r="G210" t="inlineStr">
        <is>
          <t>MALÅ</t>
        </is>
      </c>
      <c r="I210" t="n">
        <v>1.6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53068-2023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45227</v>
      </c>
      <c r="E211" s="1" t="n">
        <v>46308</v>
      </c>
      <c r="F211" t="inlineStr">
        <is>
          <t>VÄSTERBOTTENS LÄN</t>
        </is>
      </c>
      <c r="G211" t="inlineStr">
        <is>
          <t>MALÅ</t>
        </is>
      </c>
      <c r="I211" t="n">
        <v>0.8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52480-2023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45225</v>
      </c>
      <c r="E212" s="1" t="n">
        <v>46308</v>
      </c>
      <c r="F212" t="inlineStr">
        <is>
          <t>VÄSTERBOTTENS LÄN</t>
        </is>
      </c>
      <c r="G212" t="inlineStr">
        <is>
          <t>MALÅ</t>
        </is>
      </c>
      <c r="I212" t="n">
        <v>3.2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42214-2023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45179</v>
      </c>
      <c r="E213" s="1" t="n">
        <v>46308</v>
      </c>
      <c r="F213" t="inlineStr">
        <is>
          <t>VÄSTERBOTTENS LÄN</t>
        </is>
      </c>
      <c r="G213" t="inlineStr">
        <is>
          <t>MALÅ</t>
        </is>
      </c>
      <c r="I213" t="n">
        <v>4.6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59067-2023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45252</v>
      </c>
      <c r="E214" s="1" t="n">
        <v>46308</v>
      </c>
      <c r="F214" t="inlineStr">
        <is>
          <t>VÄSTERBOTTENS LÄN</t>
        </is>
      </c>
      <c r="G214" t="inlineStr">
        <is>
          <t>MALÅ</t>
        </is>
      </c>
      <c r="I214" t="n">
        <v>0.8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59463-2025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45989</v>
      </c>
      <c r="E215" s="1" t="n">
        <v>46308</v>
      </c>
      <c r="F215" t="inlineStr">
        <is>
          <t>VÄSTERBOTTENS LÄN</t>
        </is>
      </c>
      <c r="G215" t="inlineStr">
        <is>
          <t>MALÅ</t>
        </is>
      </c>
      <c r="I215" t="n">
        <v>7.2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42383-2023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45180</v>
      </c>
      <c r="E216" s="1" t="n">
        <v>46308</v>
      </c>
      <c r="F216" t="inlineStr">
        <is>
          <t>VÄSTERBOTTENS LÄN</t>
        </is>
      </c>
      <c r="G216" t="inlineStr">
        <is>
          <t>MALÅ</t>
        </is>
      </c>
      <c r="I216" t="n">
        <v>3.5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44426-2023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45188</v>
      </c>
      <c r="E217" s="1" t="n">
        <v>46308</v>
      </c>
      <c r="F217" t="inlineStr">
        <is>
          <t>VÄSTERBOTTENS LÄN</t>
        </is>
      </c>
      <c r="G217" t="inlineStr">
        <is>
          <t>MALÅ</t>
        </is>
      </c>
      <c r="I217" t="n">
        <v>1.5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9191-2025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45714</v>
      </c>
      <c r="E218" s="1" t="n">
        <v>46308</v>
      </c>
      <c r="F218" t="inlineStr">
        <is>
          <t>VÄSTERBOTTENS LÄN</t>
        </is>
      </c>
      <c r="G218" t="inlineStr">
        <is>
          <t>MALÅ</t>
        </is>
      </c>
      <c r="H218" t="inlineStr">
        <is>
          <t>Sveaskog</t>
        </is>
      </c>
      <c r="I218" t="n">
        <v>18.7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41360-2023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45174</v>
      </c>
      <c r="E219" s="1" t="n">
        <v>46308</v>
      </c>
      <c r="F219" t="inlineStr">
        <is>
          <t>VÄSTERBOTTENS LÄN</t>
        </is>
      </c>
      <c r="G219" t="inlineStr">
        <is>
          <t>MALÅ</t>
        </is>
      </c>
      <c r="I219" t="n">
        <v>1.2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41384-2023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45174</v>
      </c>
      <c r="E220" s="1" t="n">
        <v>46308</v>
      </c>
      <c r="F220" t="inlineStr">
        <is>
          <t>VÄSTERBOTTENS LÄN</t>
        </is>
      </c>
      <c r="G220" t="inlineStr">
        <is>
          <t>MALÅ</t>
        </is>
      </c>
      <c r="I220" t="n">
        <v>3.9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58240-2022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44893</v>
      </c>
      <c r="E221" s="1" t="n">
        <v>46308</v>
      </c>
      <c r="F221" t="inlineStr">
        <is>
          <t>VÄSTERBOTTENS LÄN</t>
        </is>
      </c>
      <c r="G221" t="inlineStr">
        <is>
          <t>MALÅ</t>
        </is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42183-2023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45178</v>
      </c>
      <c r="E222" s="1" t="n">
        <v>46308</v>
      </c>
      <c r="F222" t="inlineStr">
        <is>
          <t>VÄSTERBOTTENS LÄN</t>
        </is>
      </c>
      <c r="G222" t="inlineStr">
        <is>
          <t>MALÅ</t>
        </is>
      </c>
      <c r="I222" t="n">
        <v>1.3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60520-2024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45643</v>
      </c>
      <c r="E223" s="1" t="n">
        <v>46308</v>
      </c>
      <c r="F223" t="inlineStr">
        <is>
          <t>VÄSTERBOTTENS LÄN</t>
        </is>
      </c>
      <c r="G223" t="inlineStr">
        <is>
          <t>MALÅ</t>
        </is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61605-2024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45645</v>
      </c>
      <c r="E224" s="1" t="n">
        <v>46308</v>
      </c>
      <c r="F224" t="inlineStr">
        <is>
          <t>VÄSTERBOTTENS LÄN</t>
        </is>
      </c>
      <c r="G224" t="inlineStr">
        <is>
          <t>MALÅ</t>
        </is>
      </c>
      <c r="H224" t="inlineStr">
        <is>
          <t>Sveaskog</t>
        </is>
      </c>
      <c r="I224" t="n">
        <v>3.6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51383-2023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45219</v>
      </c>
      <c r="E225" s="1" t="n">
        <v>46308</v>
      </c>
      <c r="F225" t="inlineStr">
        <is>
          <t>VÄSTERBOTTENS LÄN</t>
        </is>
      </c>
      <c r="G225" t="inlineStr">
        <is>
          <t>MALÅ</t>
        </is>
      </c>
      <c r="H225" t="inlineStr">
        <is>
          <t>Sveaskog</t>
        </is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39152-2023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45166</v>
      </c>
      <c r="E226" s="1" t="n">
        <v>46308</v>
      </c>
      <c r="F226" t="inlineStr">
        <is>
          <t>VÄSTERBOTTENS LÄN</t>
        </is>
      </c>
      <c r="G226" t="inlineStr">
        <is>
          <t>MALÅ</t>
        </is>
      </c>
      <c r="I226" t="n">
        <v>2.2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39153-2023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45166</v>
      </c>
      <c r="E227" s="1" t="n">
        <v>46308</v>
      </c>
      <c r="F227" t="inlineStr">
        <is>
          <t>VÄSTERBOTTENS LÄN</t>
        </is>
      </c>
      <c r="G227" t="inlineStr">
        <is>
          <t>MALÅ</t>
        </is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39791-2023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45167</v>
      </c>
      <c r="E228" s="1" t="n">
        <v>46308</v>
      </c>
      <c r="F228" t="inlineStr">
        <is>
          <t>VÄSTERBOTTENS LÄN</t>
        </is>
      </c>
      <c r="G228" t="inlineStr">
        <is>
          <t>MALÅ</t>
        </is>
      </c>
      <c r="I228" t="n">
        <v>10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55671-2023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45238</v>
      </c>
      <c r="E229" s="1" t="n">
        <v>46308</v>
      </c>
      <c r="F229" t="inlineStr">
        <is>
          <t>VÄSTERBOTTENS LÄN</t>
        </is>
      </c>
      <c r="G229" t="inlineStr">
        <is>
          <t>MALÅ</t>
        </is>
      </c>
      <c r="H229" t="inlineStr">
        <is>
          <t>SCA</t>
        </is>
      </c>
      <c r="I229" t="n">
        <v>0.8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22308-2026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46154</v>
      </c>
      <c r="E230" s="1" t="n">
        <v>46308</v>
      </c>
      <c r="F230" t="inlineStr">
        <is>
          <t>VÄSTERBOTTENS LÄN</t>
        </is>
      </c>
      <c r="G230" t="inlineStr">
        <is>
          <t>MALÅ</t>
        </is>
      </c>
      <c r="I230" t="n">
        <v>0.9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56638-2024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45625</v>
      </c>
      <c r="E231" s="1" t="n">
        <v>46308</v>
      </c>
      <c r="F231" t="inlineStr">
        <is>
          <t>VÄSTERBOTTENS LÄN</t>
        </is>
      </c>
      <c r="G231" t="inlineStr">
        <is>
          <t>MALÅ</t>
        </is>
      </c>
      <c r="I231" t="n">
        <v>0.8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56662-2024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45625</v>
      </c>
      <c r="E232" s="1" t="n">
        <v>46308</v>
      </c>
      <c r="F232" t="inlineStr">
        <is>
          <t>VÄSTERBOTTENS LÄN</t>
        </is>
      </c>
      <c r="G232" t="inlineStr">
        <is>
          <t>MALÅ</t>
        </is>
      </c>
      <c r="I232" t="n">
        <v>4.4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9947-2025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45719</v>
      </c>
      <c r="E233" s="1" t="n">
        <v>46308</v>
      </c>
      <c r="F233" t="inlineStr">
        <is>
          <t>VÄSTERBOTTENS LÄN</t>
        </is>
      </c>
      <c r="G233" t="inlineStr">
        <is>
          <t>MALÅ</t>
        </is>
      </c>
      <c r="I233" t="n">
        <v>9.300000000000001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37326-2023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45154</v>
      </c>
      <c r="E234" s="1" t="n">
        <v>46308</v>
      </c>
      <c r="F234" t="inlineStr">
        <is>
          <t>VÄSTERBOTTENS LÄN</t>
        </is>
      </c>
      <c r="G234" t="inlineStr">
        <is>
          <t>MALÅ</t>
        </is>
      </c>
      <c r="I234" t="n">
        <v>0.7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47434-2023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45197</v>
      </c>
      <c r="E235" s="1" t="n">
        <v>46308</v>
      </c>
      <c r="F235" t="inlineStr">
        <is>
          <t>VÄSTERBOTTENS LÄN</t>
        </is>
      </c>
      <c r="G235" t="inlineStr">
        <is>
          <t>MALÅ</t>
        </is>
      </c>
      <c r="I235" t="n">
        <v>10.9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37785-2023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45159</v>
      </c>
      <c r="E236" s="1" t="n">
        <v>46308</v>
      </c>
      <c r="F236" t="inlineStr">
        <is>
          <t>VÄSTERBOTTENS LÄN</t>
        </is>
      </c>
      <c r="G236" t="inlineStr">
        <is>
          <t>MALÅ</t>
        </is>
      </c>
      <c r="I236" t="n">
        <v>1.5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6655-2025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45700</v>
      </c>
      <c r="E237" s="1" t="n">
        <v>46308</v>
      </c>
      <c r="F237" t="inlineStr">
        <is>
          <t>VÄSTERBOTTENS LÄN</t>
        </is>
      </c>
      <c r="G237" t="inlineStr">
        <is>
          <t>MALÅ</t>
        </is>
      </c>
      <c r="H237" t="inlineStr">
        <is>
          <t>SCA</t>
        </is>
      </c>
      <c r="I237" t="n">
        <v>10.2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49011-2023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45204</v>
      </c>
      <c r="E238" s="1" t="n">
        <v>46308</v>
      </c>
      <c r="F238" t="inlineStr">
        <is>
          <t>VÄSTERBOTTENS LÄN</t>
        </is>
      </c>
      <c r="G238" t="inlineStr">
        <is>
          <t>MALÅ</t>
        </is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49013-2023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45204</v>
      </c>
      <c r="E239" s="1" t="n">
        <v>46308</v>
      </c>
      <c r="F239" t="inlineStr">
        <is>
          <t>VÄSTERBOTTENS LÄN</t>
        </is>
      </c>
      <c r="G239" t="inlineStr">
        <is>
          <t>MALÅ</t>
        </is>
      </c>
      <c r="I239" t="n">
        <v>2.9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41672-2025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45902</v>
      </c>
      <c r="E240" s="1" t="n">
        <v>46308</v>
      </c>
      <c r="F240" t="inlineStr">
        <is>
          <t>VÄSTERBOTTENS LÄN</t>
        </is>
      </c>
      <c r="G240" t="inlineStr">
        <is>
          <t>MALÅ</t>
        </is>
      </c>
      <c r="I240" t="n">
        <v>8.199999999999999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60624-2024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45642</v>
      </c>
      <c r="E241" s="1" t="n">
        <v>46308</v>
      </c>
      <c r="F241" t="inlineStr">
        <is>
          <t>VÄSTERBOTTENS LÄN</t>
        </is>
      </c>
      <c r="G241" t="inlineStr">
        <is>
          <t>MALÅ</t>
        </is>
      </c>
      <c r="I241" t="n">
        <v>2.7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60702-2024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45642</v>
      </c>
      <c r="E242" s="1" t="n">
        <v>46308</v>
      </c>
      <c r="F242" t="inlineStr">
        <is>
          <t>VÄSTERBOTTENS LÄN</t>
        </is>
      </c>
      <c r="G242" t="inlineStr">
        <is>
          <t>MALÅ</t>
        </is>
      </c>
      <c r="H242" t="inlineStr">
        <is>
          <t>Sveaskog</t>
        </is>
      </c>
      <c r="I242" t="n">
        <v>5.4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7007-2023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44967</v>
      </c>
      <c r="E243" s="1" t="n">
        <v>46308</v>
      </c>
      <c r="F243" t="inlineStr">
        <is>
          <t>VÄSTERBOTTENS LÄN</t>
        </is>
      </c>
      <c r="G243" t="inlineStr">
        <is>
          <t>MALÅ</t>
        </is>
      </c>
      <c r="I243" t="n">
        <v>2.8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38877-2023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45162</v>
      </c>
      <c r="E244" s="1" t="n">
        <v>46308</v>
      </c>
      <c r="F244" t="inlineStr">
        <is>
          <t>VÄSTERBOTTENS LÄN</t>
        </is>
      </c>
      <c r="G244" t="inlineStr">
        <is>
          <t>MALÅ</t>
        </is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42182-2023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45178</v>
      </c>
      <c r="E245" s="1" t="n">
        <v>46308</v>
      </c>
      <c r="F245" t="inlineStr">
        <is>
          <t>VÄSTERBOTTENS LÄN</t>
        </is>
      </c>
      <c r="G245" t="inlineStr">
        <is>
          <t>MALÅ</t>
        </is>
      </c>
      <c r="I245" t="n">
        <v>0.5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37444-2023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45155</v>
      </c>
      <c r="E246" s="1" t="n">
        <v>46308</v>
      </c>
      <c r="F246" t="inlineStr">
        <is>
          <t>VÄSTERBOTTENS LÄN</t>
        </is>
      </c>
      <c r="G246" t="inlineStr">
        <is>
          <t>MALÅ</t>
        </is>
      </c>
      <c r="I246" t="n">
        <v>5.6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37537-2023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45158</v>
      </c>
      <c r="E247" s="1" t="n">
        <v>46308</v>
      </c>
      <c r="F247" t="inlineStr">
        <is>
          <t>VÄSTERBOTTENS LÄN</t>
        </is>
      </c>
      <c r="G247" t="inlineStr">
        <is>
          <t>MALÅ</t>
        </is>
      </c>
      <c r="I247" t="n">
        <v>0.4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39788-2023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45167</v>
      </c>
      <c r="E248" s="1" t="n">
        <v>46308</v>
      </c>
      <c r="F248" t="inlineStr">
        <is>
          <t>VÄSTERBOTTENS LÄN</t>
        </is>
      </c>
      <c r="G248" t="inlineStr">
        <is>
          <t>MALÅ</t>
        </is>
      </c>
      <c r="I248" t="n">
        <v>5.3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36054-2023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45148</v>
      </c>
      <c r="E249" s="1" t="n">
        <v>46308</v>
      </c>
      <c r="F249" t="inlineStr">
        <is>
          <t>VÄSTERBOTTENS LÄN</t>
        </is>
      </c>
      <c r="G249" t="inlineStr">
        <is>
          <t>MALÅ</t>
        </is>
      </c>
      <c r="I249" t="n">
        <v>16.2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52795-2024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45610</v>
      </c>
      <c r="E250" s="1" t="n">
        <v>46308</v>
      </c>
      <c r="F250" t="inlineStr">
        <is>
          <t>VÄSTERBOTTENS LÄN</t>
        </is>
      </c>
      <c r="G250" t="inlineStr">
        <is>
          <t>MALÅ</t>
        </is>
      </c>
      <c r="I250" t="n">
        <v>3.1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39320-2023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45166</v>
      </c>
      <c r="E251" s="1" t="n">
        <v>46308</v>
      </c>
      <c r="F251" t="inlineStr">
        <is>
          <t>VÄSTERBOTTENS LÄN</t>
        </is>
      </c>
      <c r="G251" t="inlineStr">
        <is>
          <t>MALÅ</t>
        </is>
      </c>
      <c r="H251" t="inlineStr">
        <is>
          <t>Kyrkan</t>
        </is>
      </c>
      <c r="I251" t="n">
        <v>84.5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54239-2022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44881</v>
      </c>
      <c r="E252" s="1" t="n">
        <v>46308</v>
      </c>
      <c r="F252" t="inlineStr">
        <is>
          <t>VÄSTERBOTTENS LÄN</t>
        </is>
      </c>
      <c r="G252" t="inlineStr">
        <is>
          <t>MALÅ</t>
        </is>
      </c>
      <c r="I252" t="n">
        <v>0.6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37172-2023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45154</v>
      </c>
      <c r="E253" s="1" t="n">
        <v>46308</v>
      </c>
      <c r="F253" t="inlineStr">
        <is>
          <t>VÄSTERBOTTENS LÄN</t>
        </is>
      </c>
      <c r="G253" t="inlineStr">
        <is>
          <t>MALÅ</t>
        </is>
      </c>
      <c r="I253" t="n">
        <v>73.7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42410-2023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45180</v>
      </c>
      <c r="E254" s="1" t="n">
        <v>46308</v>
      </c>
      <c r="F254" t="inlineStr">
        <is>
          <t>VÄSTERBOTTENS LÄN</t>
        </is>
      </c>
      <c r="G254" t="inlineStr">
        <is>
          <t>MALÅ</t>
        </is>
      </c>
      <c r="I254" t="n">
        <v>7.4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39246-2023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45166</v>
      </c>
      <c r="E255" s="1" t="n">
        <v>46308</v>
      </c>
      <c r="F255" t="inlineStr">
        <is>
          <t>VÄSTERBOTTENS LÄN</t>
        </is>
      </c>
      <c r="G255" t="inlineStr">
        <is>
          <t>MALÅ</t>
        </is>
      </c>
      <c r="H255" t="inlineStr">
        <is>
          <t>Sveaskog</t>
        </is>
      </c>
      <c r="I255" t="n">
        <v>4.3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40593-2023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45170</v>
      </c>
      <c r="E256" s="1" t="n">
        <v>46308</v>
      </c>
      <c r="F256" t="inlineStr">
        <is>
          <t>VÄSTERBOTTENS LÄN</t>
        </is>
      </c>
      <c r="G256" t="inlineStr">
        <is>
          <t>MALÅ</t>
        </is>
      </c>
      <c r="H256" t="inlineStr">
        <is>
          <t>Sveaskog</t>
        </is>
      </c>
      <c r="I256" t="n">
        <v>18.2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48322-2023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45201</v>
      </c>
      <c r="E257" s="1" t="n">
        <v>46308</v>
      </c>
      <c r="F257" t="inlineStr">
        <is>
          <t>VÄSTERBOTTENS LÄN</t>
        </is>
      </c>
      <c r="G257" t="inlineStr">
        <is>
          <t>MALÅ</t>
        </is>
      </c>
      <c r="I257" t="n">
        <v>0.9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54463-2023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45232</v>
      </c>
      <c r="E258" s="1" t="n">
        <v>46308</v>
      </c>
      <c r="F258" t="inlineStr">
        <is>
          <t>VÄSTERBOTTENS LÄN</t>
        </is>
      </c>
      <c r="G258" t="inlineStr">
        <is>
          <t>MALÅ</t>
        </is>
      </c>
      <c r="I258" t="n">
        <v>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32618-2023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45111</v>
      </c>
      <c r="E259" s="1" t="n">
        <v>46308</v>
      </c>
      <c r="F259" t="inlineStr">
        <is>
          <t>VÄSTERBOTTENS LÄN</t>
        </is>
      </c>
      <c r="G259" t="inlineStr">
        <is>
          <t>MALÅ</t>
        </is>
      </c>
      <c r="I259" t="n">
        <v>3.4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41792-2023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45176</v>
      </c>
      <c r="E260" s="1" t="n">
        <v>46308</v>
      </c>
      <c r="F260" t="inlineStr">
        <is>
          <t>VÄSTERBOTTENS LÄN</t>
        </is>
      </c>
      <c r="G260" t="inlineStr">
        <is>
          <t>MALÅ</t>
        </is>
      </c>
      <c r="H260" t="inlineStr">
        <is>
          <t>Sveaskog</t>
        </is>
      </c>
      <c r="I260" t="n">
        <v>10.7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36144-2023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45149</v>
      </c>
      <c r="E261" s="1" t="n">
        <v>46308</v>
      </c>
      <c r="F261" t="inlineStr">
        <is>
          <t>VÄSTERBOTTENS LÄN</t>
        </is>
      </c>
      <c r="G261" t="inlineStr">
        <is>
          <t>MALÅ</t>
        </is>
      </c>
      <c r="I261" t="n">
        <v>147.1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45101-2023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45190</v>
      </c>
      <c r="E262" s="1" t="n">
        <v>46308</v>
      </c>
      <c r="F262" t="inlineStr">
        <is>
          <t>VÄSTERBOTTENS LÄN</t>
        </is>
      </c>
      <c r="G262" t="inlineStr">
        <is>
          <t>MALÅ</t>
        </is>
      </c>
      <c r="I262" t="n">
        <v>0.8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36743-2023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45153</v>
      </c>
      <c r="E263" s="1" t="n">
        <v>46308</v>
      </c>
      <c r="F263" t="inlineStr">
        <is>
          <t>VÄSTERBOTTENS LÄN</t>
        </is>
      </c>
      <c r="G263" t="inlineStr">
        <is>
          <t>MALÅ</t>
        </is>
      </c>
      <c r="I263" t="n">
        <v>15.7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36744-2023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45153</v>
      </c>
      <c r="E264" s="1" t="n">
        <v>46308</v>
      </c>
      <c r="F264" t="inlineStr">
        <is>
          <t>VÄSTERBOTTENS LÄN</t>
        </is>
      </c>
      <c r="G264" t="inlineStr">
        <is>
          <t>MALÅ</t>
        </is>
      </c>
      <c r="I264" t="n">
        <v>5.3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62284-2023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45267</v>
      </c>
      <c r="E265" s="1" t="n">
        <v>46308</v>
      </c>
      <c r="F265" t="inlineStr">
        <is>
          <t>VÄSTERBOTTENS LÄN</t>
        </is>
      </c>
      <c r="G265" t="inlineStr">
        <is>
          <t>MALÅ</t>
        </is>
      </c>
      <c r="H265" t="inlineStr">
        <is>
          <t>Sveaskog</t>
        </is>
      </c>
      <c r="I265" t="n">
        <v>6.6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39790-2023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45167</v>
      </c>
      <c r="E266" s="1" t="n">
        <v>46308</v>
      </c>
      <c r="F266" t="inlineStr">
        <is>
          <t>VÄSTERBOTTENS LÄN</t>
        </is>
      </c>
      <c r="G266" t="inlineStr">
        <is>
          <t>MALÅ</t>
        </is>
      </c>
      <c r="I266" t="n">
        <v>2.2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53376-2023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45229</v>
      </c>
      <c r="E267" s="1" t="n">
        <v>46308</v>
      </c>
      <c r="F267" t="inlineStr">
        <is>
          <t>VÄSTERBOTTENS LÄN</t>
        </is>
      </c>
      <c r="G267" t="inlineStr">
        <is>
          <t>MALÅ</t>
        </is>
      </c>
      <c r="I267" t="n">
        <v>4.4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62124-2024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45646</v>
      </c>
      <c r="E268" s="1" t="n">
        <v>46308</v>
      </c>
      <c r="F268" t="inlineStr">
        <is>
          <t>VÄSTERBOTTENS LÄN</t>
        </is>
      </c>
      <c r="G268" t="inlineStr">
        <is>
          <t>MALÅ</t>
        </is>
      </c>
      <c r="H268" t="inlineStr">
        <is>
          <t>Sveaskog</t>
        </is>
      </c>
      <c r="I268" t="n">
        <v>4.8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48353-2023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45201</v>
      </c>
      <c r="E269" s="1" t="n">
        <v>46308</v>
      </c>
      <c r="F269" t="inlineStr">
        <is>
          <t>VÄSTERBOTTENS LÄN</t>
        </is>
      </c>
      <c r="G269" t="inlineStr">
        <is>
          <t>MALÅ</t>
        </is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39794-2023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45167</v>
      </c>
      <c r="E270" s="1" t="n">
        <v>46308</v>
      </c>
      <c r="F270" t="inlineStr">
        <is>
          <t>VÄSTERBOTTENS LÄN</t>
        </is>
      </c>
      <c r="G270" t="inlineStr">
        <is>
          <t>MALÅ</t>
        </is>
      </c>
      <c r="I270" t="n">
        <v>1.6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61947-2024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45646</v>
      </c>
      <c r="E271" s="1" t="n">
        <v>46308</v>
      </c>
      <c r="F271" t="inlineStr">
        <is>
          <t>VÄSTERBOTTENS LÄN</t>
        </is>
      </c>
      <c r="G271" t="inlineStr">
        <is>
          <t>MALÅ</t>
        </is>
      </c>
      <c r="H271" t="inlineStr">
        <is>
          <t>Sveaskog</t>
        </is>
      </c>
      <c r="I271" t="n">
        <v>5.2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40019-2023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45167</v>
      </c>
      <c r="E272" s="1" t="n">
        <v>46308</v>
      </c>
      <c r="F272" t="inlineStr">
        <is>
          <t>VÄSTERBOTTENS LÄN</t>
        </is>
      </c>
      <c r="G272" t="inlineStr">
        <is>
          <t>MALÅ</t>
        </is>
      </c>
      <c r="I272" t="n">
        <v>1.3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1947-2022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44575</v>
      </c>
      <c r="E273" s="1" t="n">
        <v>46308</v>
      </c>
      <c r="F273" t="inlineStr">
        <is>
          <t>VÄSTERBOTTENS LÄN</t>
        </is>
      </c>
      <c r="G273" t="inlineStr">
        <is>
          <t>MALÅ</t>
        </is>
      </c>
      <c r="I273" t="n">
        <v>1.2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41567-2023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45175</v>
      </c>
      <c r="E274" s="1" t="n">
        <v>46308</v>
      </c>
      <c r="F274" t="inlineStr">
        <is>
          <t>VÄSTERBOTTENS LÄN</t>
        </is>
      </c>
      <c r="G274" t="inlineStr">
        <is>
          <t>MALÅ</t>
        </is>
      </c>
      <c r="I274" t="n">
        <v>4.6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46377-2023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45193</v>
      </c>
      <c r="E275" s="1" t="n">
        <v>46308</v>
      </c>
      <c r="F275" t="inlineStr">
        <is>
          <t>VÄSTERBOTTENS LÄN</t>
        </is>
      </c>
      <c r="G275" t="inlineStr">
        <is>
          <t>MALÅ</t>
        </is>
      </c>
      <c r="I275" t="n">
        <v>1.1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46393-2023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45193</v>
      </c>
      <c r="E276" s="1" t="n">
        <v>46308</v>
      </c>
      <c r="F276" t="inlineStr">
        <is>
          <t>VÄSTERBOTTENS LÄN</t>
        </is>
      </c>
      <c r="G276" t="inlineStr">
        <is>
          <t>MALÅ</t>
        </is>
      </c>
      <c r="I276" t="n">
        <v>0.5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12857-2024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45384</v>
      </c>
      <c r="E277" s="1" t="n">
        <v>46308</v>
      </c>
      <c r="F277" t="inlineStr">
        <is>
          <t>VÄSTERBOTTENS LÄN</t>
        </is>
      </c>
      <c r="G277" t="inlineStr">
        <is>
          <t>MALÅ</t>
        </is>
      </c>
      <c r="I277" t="n">
        <v>1.1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31273-2024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45504</v>
      </c>
      <c r="E278" s="1" t="n">
        <v>46308</v>
      </c>
      <c r="F278" t="inlineStr">
        <is>
          <t>VÄSTERBOTTENS LÄN</t>
        </is>
      </c>
      <c r="G278" t="inlineStr">
        <is>
          <t>MALÅ</t>
        </is>
      </c>
      <c r="I278" t="n">
        <v>9.800000000000001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49226-2024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45595</v>
      </c>
      <c r="E279" s="1" t="n">
        <v>46308</v>
      </c>
      <c r="F279" t="inlineStr">
        <is>
          <t>VÄSTERBOTTENS LÄN</t>
        </is>
      </c>
      <c r="G279" t="inlineStr">
        <is>
          <t>MALÅ</t>
        </is>
      </c>
      <c r="H279" t="inlineStr">
        <is>
          <t>Sveaskog</t>
        </is>
      </c>
      <c r="I279" t="n">
        <v>1.2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35844-2023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45148</v>
      </c>
      <c r="E280" s="1" t="n">
        <v>46308</v>
      </c>
      <c r="F280" t="inlineStr">
        <is>
          <t>VÄSTERBOTTENS LÄN</t>
        </is>
      </c>
      <c r="G280" t="inlineStr">
        <is>
          <t>MALÅ</t>
        </is>
      </c>
      <c r="I280" t="n">
        <v>26.3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11824-2023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44994</v>
      </c>
      <c r="E281" s="1" t="n">
        <v>46308</v>
      </c>
      <c r="F281" t="inlineStr">
        <is>
          <t>VÄSTERBOTTENS LÄN</t>
        </is>
      </c>
      <c r="G281" t="inlineStr">
        <is>
          <t>MALÅ</t>
        </is>
      </c>
      <c r="I281" t="n">
        <v>7.7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12797-2023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45000</v>
      </c>
      <c r="E282" s="1" t="n">
        <v>46308</v>
      </c>
      <c r="F282" t="inlineStr">
        <is>
          <t>VÄSTERBOTTENS LÄN</t>
        </is>
      </c>
      <c r="G282" t="inlineStr">
        <is>
          <t>MALÅ</t>
        </is>
      </c>
      <c r="I282" t="n">
        <v>2.2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13004-2023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45002</v>
      </c>
      <c r="E283" s="1" t="n">
        <v>46308</v>
      </c>
      <c r="F283" t="inlineStr">
        <is>
          <t>VÄSTERBOTTENS LÄN</t>
        </is>
      </c>
      <c r="G283" t="inlineStr">
        <is>
          <t>MALÅ</t>
        </is>
      </c>
      <c r="H283" t="inlineStr">
        <is>
          <t>SCA</t>
        </is>
      </c>
      <c r="I283" t="n">
        <v>2.4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549-2025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45660</v>
      </c>
      <c r="E284" s="1" t="n">
        <v>46308</v>
      </c>
      <c r="F284" t="inlineStr">
        <is>
          <t>VÄSTERBOTTENS LÄN</t>
        </is>
      </c>
      <c r="G284" t="inlineStr">
        <is>
          <t>MALÅ</t>
        </is>
      </c>
      <c r="I284" t="n">
        <v>8.9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37678-2023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45156</v>
      </c>
      <c r="E285" s="1" t="n">
        <v>46308</v>
      </c>
      <c r="F285" t="inlineStr">
        <is>
          <t>VÄSTERBOTTENS LÄN</t>
        </is>
      </c>
      <c r="G285" t="inlineStr">
        <is>
          <t>MALÅ</t>
        </is>
      </c>
      <c r="I285" t="n">
        <v>7.3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39148-2023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45166</v>
      </c>
      <c r="E286" s="1" t="n">
        <v>46308</v>
      </c>
      <c r="F286" t="inlineStr">
        <is>
          <t>VÄSTERBOTTENS LÄN</t>
        </is>
      </c>
      <c r="G286" t="inlineStr">
        <is>
          <t>MALÅ</t>
        </is>
      </c>
      <c r="I286" t="n">
        <v>1.5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40370-2023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45168</v>
      </c>
      <c r="E287" s="1" t="n">
        <v>46308</v>
      </c>
      <c r="F287" t="inlineStr">
        <is>
          <t>VÄSTERBOTTENS LÄN</t>
        </is>
      </c>
      <c r="G287" t="inlineStr">
        <is>
          <t>MALÅ</t>
        </is>
      </c>
      <c r="I287" t="n">
        <v>1.1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42988-2023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45182</v>
      </c>
      <c r="E288" s="1" t="n">
        <v>46308</v>
      </c>
      <c r="F288" t="inlineStr">
        <is>
          <t>VÄSTERBOTTENS LÄN</t>
        </is>
      </c>
      <c r="G288" t="inlineStr">
        <is>
          <t>MALÅ</t>
        </is>
      </c>
      <c r="I288" t="n">
        <v>10.5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60577-2022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44911</v>
      </c>
      <c r="E289" s="1" t="n">
        <v>46308</v>
      </c>
      <c r="F289" t="inlineStr">
        <is>
          <t>VÄSTERBOTTENS LÄN</t>
        </is>
      </c>
      <c r="G289" t="inlineStr">
        <is>
          <t>MALÅ</t>
        </is>
      </c>
      <c r="I289" t="n">
        <v>6.4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37462-2024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45540</v>
      </c>
      <c r="E290" s="1" t="n">
        <v>46308</v>
      </c>
      <c r="F290" t="inlineStr">
        <is>
          <t>VÄSTERBOTTENS LÄN</t>
        </is>
      </c>
      <c r="G290" t="inlineStr">
        <is>
          <t>MALÅ</t>
        </is>
      </c>
      <c r="I290" t="n">
        <v>1.3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51357-2023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45219</v>
      </c>
      <c r="E291" s="1" t="n">
        <v>46308</v>
      </c>
      <c r="F291" t="inlineStr">
        <is>
          <t>VÄSTERBOTTENS LÄN</t>
        </is>
      </c>
      <c r="G291" t="inlineStr">
        <is>
          <t>MALÅ</t>
        </is>
      </c>
      <c r="H291" t="inlineStr">
        <is>
          <t>Sveaskog</t>
        </is>
      </c>
      <c r="I291" t="n">
        <v>10.8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45744-2023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45193</v>
      </c>
      <c r="E292" s="1" t="n">
        <v>46308</v>
      </c>
      <c r="F292" t="inlineStr">
        <is>
          <t>VÄSTERBOTTENS LÄN</t>
        </is>
      </c>
      <c r="G292" t="inlineStr">
        <is>
          <t>MALÅ</t>
        </is>
      </c>
      <c r="I292" t="n">
        <v>1.6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45812-2023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45189</v>
      </c>
      <c r="E293" s="1" t="n">
        <v>46308</v>
      </c>
      <c r="F293" t="inlineStr">
        <is>
          <t>VÄSTERBOTTENS LÄN</t>
        </is>
      </c>
      <c r="G293" t="inlineStr">
        <is>
          <t>MALÅ</t>
        </is>
      </c>
      <c r="I293" t="n">
        <v>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67679-2021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44524</v>
      </c>
      <c r="E294" s="1" t="n">
        <v>46308</v>
      </c>
      <c r="F294" t="inlineStr">
        <is>
          <t>VÄSTERBOTTENS LÄN</t>
        </is>
      </c>
      <c r="G294" t="inlineStr">
        <is>
          <t>MALÅ</t>
        </is>
      </c>
      <c r="I294" t="n">
        <v>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36745-2023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45153</v>
      </c>
      <c r="E295" s="1" t="n">
        <v>46308</v>
      </c>
      <c r="F295" t="inlineStr">
        <is>
          <t>VÄSTERBOTTENS LÄN</t>
        </is>
      </c>
      <c r="G295" t="inlineStr">
        <is>
          <t>MALÅ</t>
        </is>
      </c>
      <c r="I295" t="n">
        <v>5.2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44513-2023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45189</v>
      </c>
      <c r="E296" s="1" t="n">
        <v>46308</v>
      </c>
      <c r="F296" t="inlineStr">
        <is>
          <t>VÄSTERBOTTENS LÄN</t>
        </is>
      </c>
      <c r="G296" t="inlineStr">
        <is>
          <t>MALÅ</t>
        </is>
      </c>
      <c r="I296" t="n">
        <v>1.5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5794-2025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45694</v>
      </c>
      <c r="E297" s="1" t="n">
        <v>46308</v>
      </c>
      <c r="F297" t="inlineStr">
        <is>
          <t>VÄSTERBOTTENS LÄN</t>
        </is>
      </c>
      <c r="G297" t="inlineStr">
        <is>
          <t>MALÅ</t>
        </is>
      </c>
      <c r="H297" t="inlineStr">
        <is>
          <t>SCA</t>
        </is>
      </c>
      <c r="I297" t="n">
        <v>1.1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14461-2025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45741</v>
      </c>
      <c r="E298" s="1" t="n">
        <v>46308</v>
      </c>
      <c r="F298" t="inlineStr">
        <is>
          <t>VÄSTERBOTTENS LÄN</t>
        </is>
      </c>
      <c r="G298" t="inlineStr">
        <is>
          <t>MALÅ</t>
        </is>
      </c>
      <c r="I298" t="n">
        <v>3.3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36124-2023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45149</v>
      </c>
      <c r="E299" s="1" t="n">
        <v>46308</v>
      </c>
      <c r="F299" t="inlineStr">
        <is>
          <t>VÄSTERBOTTENS LÄN</t>
        </is>
      </c>
      <c r="G299" t="inlineStr">
        <is>
          <t>MALÅ</t>
        </is>
      </c>
      <c r="I299" t="n">
        <v>26.9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47799-2023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45203</v>
      </c>
      <c r="E300" s="1" t="n">
        <v>46308</v>
      </c>
      <c r="F300" t="inlineStr">
        <is>
          <t>VÄSTERBOTTENS LÄN</t>
        </is>
      </c>
      <c r="G300" t="inlineStr">
        <is>
          <t>MALÅ</t>
        </is>
      </c>
      <c r="I300" t="n">
        <v>7.5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37078-2023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45155</v>
      </c>
      <c r="E301" s="1" t="n">
        <v>46308</v>
      </c>
      <c r="F301" t="inlineStr">
        <is>
          <t>VÄSTERBOTTENS LÄN</t>
        </is>
      </c>
      <c r="G301" t="inlineStr">
        <is>
          <t>MALÅ</t>
        </is>
      </c>
      <c r="I301" t="n">
        <v>48.2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37181-2023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45154</v>
      </c>
      <c r="E302" s="1" t="n">
        <v>46308</v>
      </c>
      <c r="F302" t="inlineStr">
        <is>
          <t>VÄSTERBOTTENS LÄN</t>
        </is>
      </c>
      <c r="G302" t="inlineStr">
        <is>
          <t>MALÅ</t>
        </is>
      </c>
      <c r="I302" t="n">
        <v>2.1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61990-2024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45646</v>
      </c>
      <c r="E303" s="1" t="n">
        <v>46308</v>
      </c>
      <c r="F303" t="inlineStr">
        <is>
          <t>VÄSTERBOTTENS LÄN</t>
        </is>
      </c>
      <c r="G303" t="inlineStr">
        <is>
          <t>MALÅ</t>
        </is>
      </c>
      <c r="H303" t="inlineStr">
        <is>
          <t>Sveaskog</t>
        </is>
      </c>
      <c r="I303" t="n">
        <v>2.2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32772-2024</t>
        </is>
      </c>
      <c r="B304" t="inlineStr">
        <is>
          <t>avverkningsanmälan</t>
        </is>
      </c>
      <c r="C304" t="inlineStr">
        <is>
          <t>Avverkning för annat ändamål</t>
        </is>
      </c>
      <c r="D304" s="1" t="n">
        <v>45516</v>
      </c>
      <c r="E304" s="1" t="n">
        <v>46308</v>
      </c>
      <c r="F304" t="inlineStr">
        <is>
          <t>VÄSTERBOTTENS LÄN</t>
        </is>
      </c>
      <c r="G304" t="inlineStr">
        <is>
          <t>MALÅ</t>
        </is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12680-2022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44641</v>
      </c>
      <c r="E305" s="1" t="n">
        <v>46308</v>
      </c>
      <c r="F305" t="inlineStr">
        <is>
          <t>VÄSTERBOTTENS LÄN</t>
        </is>
      </c>
      <c r="G305" t="inlineStr">
        <is>
          <t>MALÅ</t>
        </is>
      </c>
      <c r="I305" t="n">
        <v>1.1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38999-2023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45162</v>
      </c>
      <c r="E306" s="1" t="n">
        <v>46308</v>
      </c>
      <c r="F306" t="inlineStr">
        <is>
          <t>VÄSTERBOTTENS LÄN</t>
        </is>
      </c>
      <c r="G306" t="inlineStr">
        <is>
          <t>MALÅ</t>
        </is>
      </c>
      <c r="I306" t="n">
        <v>0.9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38312-2023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45161</v>
      </c>
      <c r="E307" s="1" t="n">
        <v>46308</v>
      </c>
      <c r="F307" t="inlineStr">
        <is>
          <t>VÄSTERBOTTENS LÄN</t>
        </is>
      </c>
      <c r="G307" t="inlineStr">
        <is>
          <t>MALÅ</t>
        </is>
      </c>
      <c r="H307" t="inlineStr">
        <is>
          <t>Sveaskog</t>
        </is>
      </c>
      <c r="I307" t="n">
        <v>63.6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56727-2022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44893</v>
      </c>
      <c r="E308" s="1" t="n">
        <v>46308</v>
      </c>
      <c r="F308" t="inlineStr">
        <is>
          <t>VÄSTERBOTTENS LÄN</t>
        </is>
      </c>
      <c r="G308" t="inlineStr">
        <is>
          <t>MALÅ</t>
        </is>
      </c>
      <c r="I308" t="n">
        <v>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48224-2024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45590</v>
      </c>
      <c r="E309" s="1" t="n">
        <v>46308</v>
      </c>
      <c r="F309" t="inlineStr">
        <is>
          <t>VÄSTERBOTTENS LÄN</t>
        </is>
      </c>
      <c r="G309" t="inlineStr">
        <is>
          <t>MALÅ</t>
        </is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61609-2024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45645</v>
      </c>
      <c r="E310" s="1" t="n">
        <v>46308</v>
      </c>
      <c r="F310" t="inlineStr">
        <is>
          <t>VÄSTERBOTTENS LÄN</t>
        </is>
      </c>
      <c r="G310" t="inlineStr">
        <is>
          <t>MALÅ</t>
        </is>
      </c>
      <c r="H310" t="inlineStr">
        <is>
          <t>Sveaskog</t>
        </is>
      </c>
      <c r="I310" t="n">
        <v>11.2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39385-2023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45166</v>
      </c>
      <c r="E311" s="1" t="n">
        <v>46308</v>
      </c>
      <c r="F311" t="inlineStr">
        <is>
          <t>VÄSTERBOTTENS LÄN</t>
        </is>
      </c>
      <c r="G311" t="inlineStr">
        <is>
          <t>MALÅ</t>
        </is>
      </c>
      <c r="H311" t="inlineStr">
        <is>
          <t>Sveaskog</t>
        </is>
      </c>
      <c r="I311" t="n">
        <v>2.8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34413-2023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45139</v>
      </c>
      <c r="E312" s="1" t="n">
        <v>46308</v>
      </c>
      <c r="F312" t="inlineStr">
        <is>
          <t>VÄSTERBOTTENS LÄN</t>
        </is>
      </c>
      <c r="G312" t="inlineStr">
        <is>
          <t>MALÅ</t>
        </is>
      </c>
      <c r="H312" t="inlineStr">
        <is>
          <t>Sveaskog</t>
        </is>
      </c>
      <c r="I312" t="n">
        <v>3.9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46359-2023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45193</v>
      </c>
      <c r="E313" s="1" t="n">
        <v>46308</v>
      </c>
      <c r="F313" t="inlineStr">
        <is>
          <t>VÄSTERBOTTENS LÄN</t>
        </is>
      </c>
      <c r="G313" t="inlineStr">
        <is>
          <t>MALÅ</t>
        </is>
      </c>
      <c r="I313" t="n">
        <v>1.8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50504-2024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45601</v>
      </c>
      <c r="E314" s="1" t="n">
        <v>46308</v>
      </c>
      <c r="F314" t="inlineStr">
        <is>
          <t>VÄSTERBOTTENS LÄN</t>
        </is>
      </c>
      <c r="G314" t="inlineStr">
        <is>
          <t>MALÅ</t>
        </is>
      </c>
      <c r="H314" t="inlineStr">
        <is>
          <t>SCA</t>
        </is>
      </c>
      <c r="I314" t="n">
        <v>25.9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37183-2023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45154</v>
      </c>
      <c r="E315" s="1" t="n">
        <v>46308</v>
      </c>
      <c r="F315" t="inlineStr">
        <is>
          <t>VÄSTERBOTTENS LÄN</t>
        </is>
      </c>
      <c r="G315" t="inlineStr">
        <is>
          <t>MALÅ</t>
        </is>
      </c>
      <c r="I315" t="n">
        <v>41.2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1497-2025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45667</v>
      </c>
      <c r="E316" s="1" t="n">
        <v>46308</v>
      </c>
      <c r="F316" t="inlineStr">
        <is>
          <t>VÄSTERBOTTENS LÄN</t>
        </is>
      </c>
      <c r="G316" t="inlineStr">
        <is>
          <t>MALÅ</t>
        </is>
      </c>
      <c r="H316" t="inlineStr">
        <is>
          <t>Sveaskog</t>
        </is>
      </c>
      <c r="I316" t="n">
        <v>13.1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62257-2023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45267</v>
      </c>
      <c r="E317" s="1" t="n">
        <v>46308</v>
      </c>
      <c r="F317" t="inlineStr">
        <is>
          <t>VÄSTERBOTTENS LÄN</t>
        </is>
      </c>
      <c r="G317" t="inlineStr">
        <is>
          <t>MALÅ</t>
        </is>
      </c>
      <c r="H317" t="inlineStr">
        <is>
          <t>Sveaskog</t>
        </is>
      </c>
      <c r="I317" t="n">
        <v>4.2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44626-2023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45184</v>
      </c>
      <c r="E318" s="1" t="n">
        <v>46308</v>
      </c>
      <c r="F318" t="inlineStr">
        <is>
          <t>VÄSTERBOTTENS LÄN</t>
        </is>
      </c>
      <c r="G318" t="inlineStr">
        <is>
          <t>MALÅ</t>
        </is>
      </c>
      <c r="I318" t="n">
        <v>2.9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37960-2023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45160</v>
      </c>
      <c r="E319" s="1" t="n">
        <v>46308</v>
      </c>
      <c r="F319" t="inlineStr">
        <is>
          <t>VÄSTERBOTTENS LÄN</t>
        </is>
      </c>
      <c r="G319" t="inlineStr">
        <is>
          <t>MALÅ</t>
        </is>
      </c>
      <c r="H319" t="inlineStr">
        <is>
          <t>Sveaskog</t>
        </is>
      </c>
      <c r="I319" t="n">
        <v>21.8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56663-2024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45625</v>
      </c>
      <c r="E320" s="1" t="n">
        <v>46308</v>
      </c>
      <c r="F320" t="inlineStr">
        <is>
          <t>VÄSTERBOTTENS LÄN</t>
        </is>
      </c>
      <c r="G320" t="inlineStr">
        <is>
          <t>MALÅ</t>
        </is>
      </c>
      <c r="I320" t="n">
        <v>2.6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36425-2023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45152</v>
      </c>
      <c r="E321" s="1" t="n">
        <v>46308</v>
      </c>
      <c r="F321" t="inlineStr">
        <is>
          <t>VÄSTERBOTTENS LÄN</t>
        </is>
      </c>
      <c r="G321" t="inlineStr">
        <is>
          <t>MALÅ</t>
        </is>
      </c>
      <c r="I321" t="n">
        <v>2.7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37159-2023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45154</v>
      </c>
      <c r="E322" s="1" t="n">
        <v>46308</v>
      </c>
      <c r="F322" t="inlineStr">
        <is>
          <t>VÄSTERBOTTENS LÄN</t>
        </is>
      </c>
      <c r="G322" t="inlineStr">
        <is>
          <t>MALÅ</t>
        </is>
      </c>
      <c r="I322" t="n">
        <v>63.5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48327-2023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45201</v>
      </c>
      <c r="E323" s="1" t="n">
        <v>46308</v>
      </c>
      <c r="F323" t="inlineStr">
        <is>
          <t>VÄSTERBOTTENS LÄN</t>
        </is>
      </c>
      <c r="G323" t="inlineStr">
        <is>
          <t>MALÅ</t>
        </is>
      </c>
      <c r="I323" t="n">
        <v>0.5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37897-2023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45159</v>
      </c>
      <c r="E324" s="1" t="n">
        <v>46308</v>
      </c>
      <c r="F324" t="inlineStr">
        <is>
          <t>VÄSTERBOTTENS LÄN</t>
        </is>
      </c>
      <c r="G324" t="inlineStr">
        <is>
          <t>MALÅ</t>
        </is>
      </c>
      <c r="I324" t="n">
        <v>30.4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40618-2023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45170</v>
      </c>
      <c r="E325" s="1" t="n">
        <v>46308</v>
      </c>
      <c r="F325" t="inlineStr">
        <is>
          <t>VÄSTERBOTTENS LÄN</t>
        </is>
      </c>
      <c r="G325" t="inlineStr">
        <is>
          <t>MALÅ</t>
        </is>
      </c>
      <c r="H325" t="inlineStr">
        <is>
          <t>Sveaskog</t>
        </is>
      </c>
      <c r="I325" t="n">
        <v>23.4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54437-2023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45233</v>
      </c>
      <c r="E326" s="1" t="n">
        <v>46308</v>
      </c>
      <c r="F326" t="inlineStr">
        <is>
          <t>VÄSTERBOTTENS LÄN</t>
        </is>
      </c>
      <c r="G326" t="inlineStr">
        <is>
          <t>MALÅ</t>
        </is>
      </c>
      <c r="I326" t="n">
        <v>5.7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60616-2024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45642</v>
      </c>
      <c r="E327" s="1" t="n">
        <v>46308</v>
      </c>
      <c r="F327" t="inlineStr">
        <is>
          <t>VÄSTERBOTTENS LÄN</t>
        </is>
      </c>
      <c r="G327" t="inlineStr">
        <is>
          <t>MALÅ</t>
        </is>
      </c>
      <c r="I327" t="n">
        <v>2.4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33690-2024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45520</v>
      </c>
      <c r="E328" s="1" t="n">
        <v>46308</v>
      </c>
      <c r="F328" t="inlineStr">
        <is>
          <t>VÄSTERBOTTENS LÄN</t>
        </is>
      </c>
      <c r="G328" t="inlineStr">
        <is>
          <t>MALÅ</t>
        </is>
      </c>
      <c r="H328" t="inlineStr">
        <is>
          <t>Sveaskog</t>
        </is>
      </c>
      <c r="I328" t="n">
        <v>5.7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55507-2024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45622</v>
      </c>
      <c r="E329" s="1" t="n">
        <v>46308</v>
      </c>
      <c r="F329" t="inlineStr">
        <is>
          <t>VÄSTERBOTTENS LÄN</t>
        </is>
      </c>
      <c r="G329" t="inlineStr">
        <is>
          <t>MALÅ</t>
        </is>
      </c>
      <c r="H329" t="inlineStr">
        <is>
          <t>Sveaskog</t>
        </is>
      </c>
      <c r="I329" t="n">
        <v>12.5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60591-2024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45642</v>
      </c>
      <c r="E330" s="1" t="n">
        <v>46308</v>
      </c>
      <c r="F330" t="inlineStr">
        <is>
          <t>VÄSTERBOTTENS LÄN</t>
        </is>
      </c>
      <c r="G330" t="inlineStr">
        <is>
          <t>MALÅ</t>
        </is>
      </c>
      <c r="I330" t="n">
        <v>3.5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37922-2023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45159</v>
      </c>
      <c r="E331" s="1" t="n">
        <v>46308</v>
      </c>
      <c r="F331" t="inlineStr">
        <is>
          <t>VÄSTERBOTTENS LÄN</t>
        </is>
      </c>
      <c r="G331" t="inlineStr">
        <is>
          <t>MALÅ</t>
        </is>
      </c>
      <c r="I331" t="n">
        <v>9.699999999999999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59866-2021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44491</v>
      </c>
      <c r="E332" s="1" t="n">
        <v>46308</v>
      </c>
      <c r="F332" t="inlineStr">
        <is>
          <t>VÄSTERBOTTENS LÄN</t>
        </is>
      </c>
      <c r="G332" t="inlineStr">
        <is>
          <t>MALÅ</t>
        </is>
      </c>
      <c r="I332" t="n">
        <v>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50517-2024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45601</v>
      </c>
      <c r="E333" s="1" t="n">
        <v>46308</v>
      </c>
      <c r="F333" t="inlineStr">
        <is>
          <t>VÄSTERBOTTENS LÄN</t>
        </is>
      </c>
      <c r="G333" t="inlineStr">
        <is>
          <t>MALÅ</t>
        </is>
      </c>
      <c r="H333" t="inlineStr">
        <is>
          <t>SCA</t>
        </is>
      </c>
      <c r="I333" t="n">
        <v>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37327-2023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45154</v>
      </c>
      <c r="E334" s="1" t="n">
        <v>46308</v>
      </c>
      <c r="F334" t="inlineStr">
        <is>
          <t>VÄSTERBOTTENS LÄN</t>
        </is>
      </c>
      <c r="G334" t="inlineStr">
        <is>
          <t>MALÅ</t>
        </is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33692-2024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45520</v>
      </c>
      <c r="E335" s="1" t="n">
        <v>46308</v>
      </c>
      <c r="F335" t="inlineStr">
        <is>
          <t>VÄSTERBOTTENS LÄN</t>
        </is>
      </c>
      <c r="G335" t="inlineStr">
        <is>
          <t>MALÅ</t>
        </is>
      </c>
      <c r="H335" t="inlineStr">
        <is>
          <t>Sveaskog</t>
        </is>
      </c>
      <c r="I335" t="n">
        <v>1.9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51573-2023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45222</v>
      </c>
      <c r="E336" s="1" t="n">
        <v>46308</v>
      </c>
      <c r="F336" t="inlineStr">
        <is>
          <t>VÄSTERBOTTENS LÄN</t>
        </is>
      </c>
      <c r="G336" t="inlineStr">
        <is>
          <t>MALÅ</t>
        </is>
      </c>
      <c r="I336" t="n">
        <v>3.1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61992-2024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45646</v>
      </c>
      <c r="E337" s="1" t="n">
        <v>46308</v>
      </c>
      <c r="F337" t="inlineStr">
        <is>
          <t>VÄSTERBOTTENS LÄN</t>
        </is>
      </c>
      <c r="G337" t="inlineStr">
        <is>
          <t>MALÅ</t>
        </is>
      </c>
      <c r="H337" t="inlineStr">
        <is>
          <t>Sveaskog</t>
        </is>
      </c>
      <c r="I337" t="n">
        <v>2.3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6910-2023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44964</v>
      </c>
      <c r="E338" s="1" t="n">
        <v>46308</v>
      </c>
      <c r="F338" t="inlineStr">
        <is>
          <t>VÄSTERBOTTENS LÄN</t>
        </is>
      </c>
      <c r="G338" t="inlineStr">
        <is>
          <t>MALÅ</t>
        </is>
      </c>
      <c r="I338" t="n">
        <v>1.7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52104-2023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45223</v>
      </c>
      <c r="E339" s="1" t="n">
        <v>46308</v>
      </c>
      <c r="F339" t="inlineStr">
        <is>
          <t>VÄSTERBOTTENS LÄN</t>
        </is>
      </c>
      <c r="G339" t="inlineStr">
        <is>
          <t>MALÅ</t>
        </is>
      </c>
      <c r="I339" t="n">
        <v>1.1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40607-2023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45170</v>
      </c>
      <c r="E340" s="1" t="n">
        <v>46308</v>
      </c>
      <c r="F340" t="inlineStr">
        <is>
          <t>VÄSTERBOTTENS LÄN</t>
        </is>
      </c>
      <c r="G340" t="inlineStr">
        <is>
          <t>MALÅ</t>
        </is>
      </c>
      <c r="H340" t="inlineStr">
        <is>
          <t>Sveaskog</t>
        </is>
      </c>
      <c r="I340" t="n">
        <v>14.7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5700-2025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45694</v>
      </c>
      <c r="E341" s="1" t="n">
        <v>46308</v>
      </c>
      <c r="F341" t="inlineStr">
        <is>
          <t>VÄSTERBOTTENS LÄN</t>
        </is>
      </c>
      <c r="G341" t="inlineStr">
        <is>
          <t>MALÅ</t>
        </is>
      </c>
      <c r="I341" t="n">
        <v>3.1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10843-2024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45369</v>
      </c>
      <c r="E342" s="1" t="n">
        <v>46308</v>
      </c>
      <c r="F342" t="inlineStr">
        <is>
          <t>VÄSTERBOTTENS LÄN</t>
        </is>
      </c>
      <c r="G342" t="inlineStr">
        <is>
          <t>MALÅ</t>
        </is>
      </c>
      <c r="I342" t="n">
        <v>1.9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57303-2023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45245</v>
      </c>
      <c r="E343" s="1" t="n">
        <v>46308</v>
      </c>
      <c r="F343" t="inlineStr">
        <is>
          <t>VÄSTERBOTTENS LÄN</t>
        </is>
      </c>
      <c r="G343" t="inlineStr">
        <is>
          <t>MALÅ</t>
        </is>
      </c>
      <c r="H343" t="inlineStr">
        <is>
          <t>Sveaskog</t>
        </is>
      </c>
      <c r="I343" t="n">
        <v>5.8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>
      <c r="A344" t="inlineStr">
        <is>
          <t>S 894-2022</t>
        </is>
      </c>
      <c r="B344" t="inlineStr">
        <is>
          <t>samrådsanmälan</t>
        </is>
      </c>
      <c r="C344" t="inlineStr">
        <is>
          <t>Skogsgödsling</t>
        </is>
      </c>
      <c r="D344" s="1" t="n">
        <v>44607</v>
      </c>
      <c r="E344" s="1" t="n">
        <v>46308</v>
      </c>
      <c r="F344" t="inlineStr">
        <is>
          <t>VÄSTERBOTTENS LÄN</t>
        </is>
      </c>
      <c r="G344" t="inlineStr">
        <is>
          <t>MALÅ</t>
        </is>
      </c>
      <c r="H344" t="inlineStr">
        <is>
          <t>SCA</t>
        </is>
      </c>
      <c r="I344" t="n">
        <v>86.3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2026-10-13T02:01:02Z</dcterms:created>
  <dcterms:modified xmlns:dcterms="http://purl.org/dc/terms/" xmlns:xsi="http://www.w3.org/2001/XMLSchema-instance" xsi:type="dcterms:W3CDTF">2026-10-13T02:01:02Z</dcterms:modified>
</cp:coreProperties>
</file>