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49040-2025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Orange taggsvamp</t>
        </is>
      </c>
      <c r="W6">
        <f>HYPERLINK("https://klasma.github.io/Logging_2418/artfynd/A 49040-2025 artfynd.xlsx", "A 49040-2025")</f>
        <v/>
      </c>
      <c r="X6">
        <f>HYPERLINK("https://klasma.github.io/Logging_2418/kartor/A 49040-2025 karta.png", "A 49040-2025")</f>
        <v/>
      </c>
      <c r="Y6">
        <f>HYPERLINK("https://klasma.github.io/Logging_2418/kartor_geotiff/A 49040-2025 georefererad karta.tif", "A 49040-2025")</f>
        <v/>
      </c>
      <c r="AA6">
        <f>HYPERLINK("https://klasma.github.io/Logging_2418/klagomål/A 49040-2025 FSC-klagomål.docx", "A 49040-2025")</f>
        <v/>
      </c>
      <c r="AB6">
        <f>HYPERLINK("https://klasma.github.io/Logging_2418/klagomålsmail/A 49040-2025 FSC-klagomål mail.docx", "A 49040-2025")</f>
        <v/>
      </c>
      <c r="AC6">
        <f>HYPERLINK("https://klasma.github.io/Logging_2418/tillsyn/A 49040-2025 tillsynsbegäran.docx", "A 49040-2025")</f>
        <v/>
      </c>
      <c r="AD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44454</v>
      </c>
      <c r="E8" s="1" t="n">
        <v>46252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26.5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Norna</t>
        </is>
      </c>
      <c r="W8">
        <f>HYPERLINK("https://klasma.github.io/Logging_2418/artfynd/A 49370-2021 artfynd.xlsx", "A 49370-2021")</f>
        <v/>
      </c>
      <c r="X8">
        <f>HYPERLINK("https://klasma.github.io/Logging_2418/kartor/A 49370-2021 karta.png", "A 49370-2021")</f>
        <v/>
      </c>
      <c r="Y8">
        <f>HYPERLINK("https://klasma.github.io/Logging_2418/kartor_geotiff/A 49370-2021 georefererad karta.tif", "A 49370-2021")</f>
        <v/>
      </c>
      <c r="AA8">
        <f>HYPERLINK("https://klasma.github.io/Logging_2418/klagomål/A 49370-2021 FSC-klagomål.docx", "A 49370-2021")</f>
        <v/>
      </c>
      <c r="AB8">
        <f>HYPERLINK("https://klasma.github.io/Logging_2418/klagomålsmail/A 49370-2021 FSC-klagomål mail.docx", "A 49370-2021")</f>
        <v/>
      </c>
      <c r="AC8">
        <f>HYPERLINK("https://klasma.github.io/Logging_2418/tillsyn/A 49370-2021 tillsynsbegäran.docx", "A 49370-2021")</f>
        <v/>
      </c>
      <c r="AD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46252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46252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46252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46252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46252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46252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46252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46252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46252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46252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48089-2024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46252</v>
      </c>
      <c r="F19" t="inlineStr">
        <is>
          <t>VÄSTERBOTTENS LÄN</t>
        </is>
      </c>
      <c r="G19" t="inlineStr">
        <is>
          <t>MALÅ</t>
        </is>
      </c>
      <c r="H19" t="inlineStr">
        <is>
          <t>SCA</t>
        </is>
      </c>
      <c r="I19" t="n">
        <v>5.1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54239-2022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44881</v>
      </c>
      <c r="E20" s="1" t="n">
        <v>46252</v>
      </c>
      <c r="F20" t="inlineStr">
        <is>
          <t>VÄSTERBOTTENS LÄN</t>
        </is>
      </c>
      <c r="G20" t="inlineStr">
        <is>
          <t>MALÅ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37172-2023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45154</v>
      </c>
      <c r="E21" s="1" t="n">
        <v>46252</v>
      </c>
      <c r="F21" t="inlineStr">
        <is>
          <t>VÄSTERBOTTENS LÄN</t>
        </is>
      </c>
      <c r="G21" t="inlineStr">
        <is>
          <t>MALÅ</t>
        </is>
      </c>
      <c r="I21" t="n">
        <v>73.7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46252</v>
      </c>
      <c r="F22" t="inlineStr">
        <is>
          <t>VÄSTERBOTTENS LÄN</t>
        </is>
      </c>
      <c r="G22" t="inlineStr">
        <is>
          <t>MALÅ</t>
        </is>
      </c>
      <c r="I22" t="n">
        <v>10.4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41792-2023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46252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45174</v>
      </c>
      <c r="E24" s="1" t="n">
        <v>46252</v>
      </c>
      <c r="F24" t="inlineStr">
        <is>
          <t>VÄSTERBOTTENS LÄN</t>
        </is>
      </c>
      <c r="G24" t="inlineStr">
        <is>
          <t>MALÅ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45180</v>
      </c>
      <c r="E25" s="1" t="n">
        <v>46252</v>
      </c>
      <c r="F25" t="inlineStr">
        <is>
          <t>VÄSTERBOTTENS LÄN</t>
        </is>
      </c>
      <c r="G25" t="inlineStr">
        <is>
          <t>MALÅ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46252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39246-2023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46252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40593-2023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45170</v>
      </c>
      <c r="E28" s="1" t="n">
        <v>46252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18.2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45890</v>
      </c>
      <c r="E29" s="1" t="n">
        <v>46252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45549-2021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44440</v>
      </c>
      <c r="E30" s="1" t="n">
        <v>46252</v>
      </c>
      <c r="F30" t="inlineStr">
        <is>
          <t>VÄSTERBOTTENS LÄN</t>
        </is>
      </c>
      <c r="G30" t="inlineStr">
        <is>
          <t>MALÅ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46252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31088-2024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46252</v>
      </c>
      <c r="F32" t="inlineStr">
        <is>
          <t>VÄSTERBOTTENS LÄN</t>
        </is>
      </c>
      <c r="G32" t="inlineStr">
        <is>
          <t>MALÅ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46252</v>
      </c>
      <c r="F33" t="inlineStr">
        <is>
          <t>VÄSTERBOTTENS LÄN</t>
        </is>
      </c>
      <c r="G33" t="inlineStr">
        <is>
          <t>MALÅ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37171-2023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46252</v>
      </c>
      <c r="F34" t="inlineStr">
        <is>
          <t>VÄSTERBOTTENS LÄN</t>
        </is>
      </c>
      <c r="G34" t="inlineStr">
        <is>
          <t>MALÅ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46252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46252</v>
      </c>
      <c r="F36" t="inlineStr">
        <is>
          <t>VÄSTERBOTTENS LÄN</t>
        </is>
      </c>
      <c r="G36" t="inlineStr">
        <is>
          <t>MALÅ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41212-2025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46252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17.6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41559-2025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45901</v>
      </c>
      <c r="E38" s="1" t="n">
        <v>46252</v>
      </c>
      <c r="F38" t="inlineStr">
        <is>
          <t>VÄSTERBOTTENS LÄN</t>
        </is>
      </c>
      <c r="G38" t="inlineStr">
        <is>
          <t>MALÅ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40943-2025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45897</v>
      </c>
      <c r="E39" s="1" t="n">
        <v>46252</v>
      </c>
      <c r="F39" t="inlineStr">
        <is>
          <t>VÄSTERBOTTENS LÄN</t>
        </is>
      </c>
      <c r="G39" t="inlineStr">
        <is>
          <t>MALÅ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41198-2025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46252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22.4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45022</v>
      </c>
      <c r="E41" s="1" t="n">
        <v>46252</v>
      </c>
      <c r="F41" t="inlineStr">
        <is>
          <t>VÄSTERBOTTENS LÄN</t>
        </is>
      </c>
      <c r="G41" t="inlineStr">
        <is>
          <t>MALÅ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41191-2025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46252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45189</v>
      </c>
      <c r="E43" s="1" t="n">
        <v>46252</v>
      </c>
      <c r="F43" t="inlineStr">
        <is>
          <t>VÄSTERBOTTENS LÄN</t>
        </is>
      </c>
      <c r="G43" t="inlineStr">
        <is>
          <t>MALÅ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54463-2023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46252</v>
      </c>
      <c r="F44" t="inlineStr">
        <is>
          <t>VÄSTERBOTTENS LÄN</t>
        </is>
      </c>
      <c r="G44" t="inlineStr">
        <is>
          <t>MALÅ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32618-2023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46252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45230</v>
      </c>
      <c r="E46" s="1" t="n">
        <v>46252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41792-2023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46252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60168-2024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45639</v>
      </c>
      <c r="E48" s="1" t="n">
        <v>46252</v>
      </c>
      <c r="F48" t="inlineStr">
        <is>
          <t>VÄSTERBOTTENS LÄN</t>
        </is>
      </c>
      <c r="G48" t="inlineStr">
        <is>
          <t>MALÅ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13432-2025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46252</v>
      </c>
      <c r="F49" t="inlineStr">
        <is>
          <t>VÄSTERBOTTENS LÄN</t>
        </is>
      </c>
      <c r="G49" t="inlineStr">
        <is>
          <t>MALÅ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37535-2023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45158</v>
      </c>
      <c r="E50" s="1" t="n">
        <v>46252</v>
      </c>
      <c r="F50" t="inlineStr">
        <is>
          <t>VÄSTERBOTTENS LÄN</t>
        </is>
      </c>
      <c r="G50" t="inlineStr">
        <is>
          <t>MALÅ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36144-2023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45149</v>
      </c>
      <c r="E51" s="1" t="n">
        <v>46252</v>
      </c>
      <c r="F51" t="inlineStr">
        <is>
          <t>VÄSTERBOTTENS LÄN</t>
        </is>
      </c>
      <c r="G51" t="inlineStr">
        <is>
          <t>MALÅ</t>
        </is>
      </c>
      <c r="I51" t="n">
        <v>147.1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45190</v>
      </c>
      <c r="E52" s="1" t="n">
        <v>46252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46063-2023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46252</v>
      </c>
      <c r="F53" t="inlineStr">
        <is>
          <t>VÄSTERBOTTENS LÄN</t>
        </is>
      </c>
      <c r="G53" t="inlineStr">
        <is>
          <t>MALÅ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46252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45861</v>
      </c>
      <c r="E55" s="1" t="n">
        <v>46252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45861</v>
      </c>
      <c r="E56" s="1" t="n">
        <v>46252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46252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45861</v>
      </c>
      <c r="E58" s="1" t="n">
        <v>46252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7.5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45861</v>
      </c>
      <c r="E59" s="1" t="n">
        <v>46252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45202</v>
      </c>
      <c r="E60" s="1" t="n">
        <v>46252</v>
      </c>
      <c r="F60" t="inlineStr">
        <is>
          <t>VÄSTERBOTTENS LÄN</t>
        </is>
      </c>
      <c r="G60" t="inlineStr">
        <is>
          <t>MALÅ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46252</v>
      </c>
      <c r="F61" t="inlineStr">
        <is>
          <t>VÄSTERBOTTENS LÄN</t>
        </is>
      </c>
      <c r="G61" t="inlineStr">
        <is>
          <t>MALÅ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46252</v>
      </c>
      <c r="F62" t="inlineStr">
        <is>
          <t>VÄSTERBOTTENS LÄN</t>
        </is>
      </c>
      <c r="G62" t="inlineStr">
        <is>
          <t>MALÅ</t>
        </is>
      </c>
      <c r="I62" t="n">
        <v>15.7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45153</v>
      </c>
      <c r="E63" s="1" t="n">
        <v>46252</v>
      </c>
      <c r="F63" t="inlineStr">
        <is>
          <t>VÄSTERBOTTENS LÄN</t>
        </is>
      </c>
      <c r="G63" t="inlineStr">
        <is>
          <t>MALÅ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46252</v>
      </c>
      <c r="F64" t="inlineStr">
        <is>
          <t>VÄSTERBOTTENS LÄN</t>
        </is>
      </c>
      <c r="G64" t="inlineStr">
        <is>
          <t>MALÅ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46252</v>
      </c>
      <c r="F65" t="inlineStr">
        <is>
          <t>VÄSTERBOTTENS LÄN</t>
        </is>
      </c>
      <c r="G65" t="inlineStr">
        <is>
          <t>MALÅ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45267</v>
      </c>
      <c r="E66" s="1" t="n">
        <v>46252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48034-2025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46252</v>
      </c>
      <c r="F67" t="inlineStr">
        <is>
          <t>VÄSTERBOTTENS LÄN</t>
        </is>
      </c>
      <c r="G67" t="inlineStr">
        <is>
          <t>MALÅ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36286-2025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46252</v>
      </c>
      <c r="F68" t="inlineStr">
        <is>
          <t>VÄSTERBOTTENS LÄN</t>
        </is>
      </c>
      <c r="G68" t="inlineStr">
        <is>
          <t>MALÅ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45932</v>
      </c>
      <c r="E69" s="1" t="n">
        <v>46252</v>
      </c>
      <c r="F69" t="inlineStr">
        <is>
          <t>VÄSTERBOTTENS LÄN</t>
        </is>
      </c>
      <c r="G69" t="inlineStr">
        <is>
          <t>MALÅ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39790-2023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45167</v>
      </c>
      <c r="E70" s="1" t="n">
        <v>46252</v>
      </c>
      <c r="F70" t="inlineStr">
        <is>
          <t>VÄSTERBOTTENS LÄN</t>
        </is>
      </c>
      <c r="G70" t="inlineStr">
        <is>
          <t>MALÅ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46252</v>
      </c>
      <c r="F71" t="inlineStr">
        <is>
          <t>VÄSTERBOTTENS LÄN</t>
        </is>
      </c>
      <c r="G71" t="inlineStr">
        <is>
          <t>MALÅ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45646</v>
      </c>
      <c r="E72" s="1" t="n">
        <v>46252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46252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46252</v>
      </c>
      <c r="F74" t="inlineStr">
        <is>
          <t>VÄSTERBOTTENS LÄN</t>
        </is>
      </c>
      <c r="G74" t="inlineStr">
        <is>
          <t>MALÅ</t>
        </is>
      </c>
      <c r="H74" t="inlineStr">
        <is>
          <t>SCA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46252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49661-2025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46252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46252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46252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46252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46252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46252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46252</v>
      </c>
      <c r="F82" t="inlineStr">
        <is>
          <t>VÄSTERBOTTENS LÄN</t>
        </is>
      </c>
      <c r="G82" t="inlineStr">
        <is>
          <t>MALÅ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45646</v>
      </c>
      <c r="E83" s="1" t="n">
        <v>46252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45102-2023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46252</v>
      </c>
      <c r="F84" t="inlineStr">
        <is>
          <t>VÄSTERBOTTENS LÄN</t>
        </is>
      </c>
      <c r="G84" t="inlineStr">
        <is>
          <t>MALÅ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46252</v>
      </c>
      <c r="F85" t="inlineStr">
        <is>
          <t>VÄSTERBOTTENS LÄN</t>
        </is>
      </c>
      <c r="G85" t="inlineStr">
        <is>
          <t>MALÅ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46252</v>
      </c>
      <c r="F86" t="inlineStr">
        <is>
          <t>VÄSTERBOTTENS LÄN</t>
        </is>
      </c>
      <c r="G86" t="inlineStr">
        <is>
          <t>MALÅ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68036-2021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46252</v>
      </c>
      <c r="F87" t="inlineStr">
        <is>
          <t>VÄSTERBOTTENS LÄN</t>
        </is>
      </c>
      <c r="G87" t="inlineStr">
        <is>
          <t>MALÅ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44575</v>
      </c>
      <c r="E88" s="1" t="n">
        <v>46252</v>
      </c>
      <c r="F88" t="inlineStr">
        <is>
          <t>VÄSTERBOTTENS LÄN</t>
        </is>
      </c>
      <c r="G88" t="inlineStr">
        <is>
          <t>MALÅ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45175</v>
      </c>
      <c r="E89" s="1" t="n">
        <v>46252</v>
      </c>
      <c r="F89" t="inlineStr">
        <is>
          <t>VÄSTERBOTTENS LÄN</t>
        </is>
      </c>
      <c r="G89" t="inlineStr">
        <is>
          <t>MALÅ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46377-2023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45193</v>
      </c>
      <c r="E90" s="1" t="n">
        <v>46252</v>
      </c>
      <c r="F90" t="inlineStr">
        <is>
          <t>VÄSTERBOTTENS LÄN</t>
        </is>
      </c>
      <c r="G90" t="inlineStr">
        <is>
          <t>MALÅ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45193</v>
      </c>
      <c r="E91" s="1" t="n">
        <v>46252</v>
      </c>
      <c r="F91" t="inlineStr">
        <is>
          <t>VÄSTERBOTTENS LÄN</t>
        </is>
      </c>
      <c r="G91" t="inlineStr">
        <is>
          <t>MALÅ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46252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46252</v>
      </c>
      <c r="F93" t="inlineStr">
        <is>
          <t>VÄSTERBOTTENS LÄN</t>
        </is>
      </c>
      <c r="G93" t="inlineStr">
        <is>
          <t>MALÅ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45504</v>
      </c>
      <c r="E94" s="1" t="n">
        <v>46252</v>
      </c>
      <c r="F94" t="inlineStr">
        <is>
          <t>VÄSTERBOTTENS LÄN</t>
        </is>
      </c>
      <c r="G94" t="inlineStr">
        <is>
          <t>MALÅ</t>
        </is>
      </c>
      <c r="I94" t="n">
        <v>9.800000000000001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46252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46252</v>
      </c>
      <c r="F96" t="inlineStr">
        <is>
          <t>VÄSTERBOTTENS LÄN</t>
        </is>
      </c>
      <c r="G96" t="inlineStr">
        <is>
          <t>MALÅ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46252</v>
      </c>
      <c r="F97" t="inlineStr">
        <is>
          <t>VÄSTERBOTTENS LÄN</t>
        </is>
      </c>
      <c r="G97" t="inlineStr">
        <is>
          <t>MALÅ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46252</v>
      </c>
      <c r="F98" t="inlineStr">
        <is>
          <t>VÄSTERBOTTENS LÄN</t>
        </is>
      </c>
      <c r="G98" t="inlineStr">
        <is>
          <t>MALÅ</t>
        </is>
      </c>
      <c r="H98" t="inlineStr">
        <is>
          <t>SCA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45595</v>
      </c>
      <c r="E99" s="1" t="n">
        <v>46252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46252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46252</v>
      </c>
      <c r="F101" t="inlineStr">
        <is>
          <t>VÄSTERBOTTENS LÄN</t>
        </is>
      </c>
      <c r="G101" t="inlineStr">
        <is>
          <t>MALÅ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46252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46252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46252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46252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46252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46252</v>
      </c>
      <c r="F107" t="inlineStr">
        <is>
          <t>VÄSTERBOTTENS LÄN</t>
        </is>
      </c>
      <c r="G107" t="inlineStr">
        <is>
          <t>MALÅ</t>
        </is>
      </c>
      <c r="I107" t="n">
        <v>11.4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35844-2023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45148</v>
      </c>
      <c r="E108" s="1" t="n">
        <v>46252</v>
      </c>
      <c r="F108" t="inlineStr">
        <is>
          <t>VÄSTERBOTTENS LÄN</t>
        </is>
      </c>
      <c r="G108" t="inlineStr">
        <is>
          <t>MALÅ</t>
        </is>
      </c>
      <c r="I108" t="n">
        <v>26.3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44994</v>
      </c>
      <c r="E109" s="1" t="n">
        <v>46252</v>
      </c>
      <c r="F109" t="inlineStr">
        <is>
          <t>VÄSTERBOTTENS LÄN</t>
        </is>
      </c>
      <c r="G109" t="inlineStr">
        <is>
          <t>MALÅ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45688</v>
      </c>
      <c r="E110" s="1" t="n">
        <v>46252</v>
      </c>
      <c r="F110" t="inlineStr">
        <is>
          <t>VÄSTERBOTTENS LÄN</t>
        </is>
      </c>
      <c r="G110" t="inlineStr">
        <is>
          <t>MALÅ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45217</v>
      </c>
      <c r="E111" s="1" t="n">
        <v>46252</v>
      </c>
      <c r="F111" t="inlineStr">
        <is>
          <t>VÄSTERBOTTENS LÄN</t>
        </is>
      </c>
      <c r="G111" t="inlineStr">
        <is>
          <t>MALÅ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45000</v>
      </c>
      <c r="E112" s="1" t="n">
        <v>46252</v>
      </c>
      <c r="F112" t="inlineStr">
        <is>
          <t>VÄSTERBOTTENS LÄN</t>
        </is>
      </c>
      <c r="G112" t="inlineStr">
        <is>
          <t>MALÅ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46252</v>
      </c>
      <c r="F113" t="inlineStr">
        <is>
          <t>VÄSTERBOTTENS LÄN</t>
        </is>
      </c>
      <c r="G113" t="inlineStr">
        <is>
          <t>MALÅ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46252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46252</v>
      </c>
      <c r="F115" t="inlineStr">
        <is>
          <t>VÄSTERBOTTENS LÄN</t>
        </is>
      </c>
      <c r="G115" t="inlineStr">
        <is>
          <t>MALÅ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46252</v>
      </c>
      <c r="F116" t="inlineStr">
        <is>
          <t>VÄSTERBOTTENS LÄN</t>
        </is>
      </c>
      <c r="G116" t="inlineStr">
        <is>
          <t>MALÅ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45964</v>
      </c>
      <c r="E117" s="1" t="n">
        <v>46252</v>
      </c>
      <c r="F117" t="inlineStr">
        <is>
          <t>VÄSTERBOTTENS LÄN</t>
        </is>
      </c>
      <c r="G117" t="inlineStr">
        <is>
          <t>MALÅ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46252</v>
      </c>
      <c r="F118" t="inlineStr">
        <is>
          <t>VÄSTERBOTTENS LÄN</t>
        </is>
      </c>
      <c r="G118" t="inlineStr">
        <is>
          <t>MALÅ</t>
        </is>
      </c>
      <c r="H118" t="inlineStr">
        <is>
          <t>Kyrkan</t>
        </is>
      </c>
      <c r="I118" t="n">
        <v>27.3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45966</v>
      </c>
      <c r="E119" s="1" t="n">
        <v>46252</v>
      </c>
      <c r="F119" t="inlineStr">
        <is>
          <t>VÄSTERBOTTENS LÄN</t>
        </is>
      </c>
      <c r="G119" t="inlineStr">
        <is>
          <t>MALÅ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46252</v>
      </c>
      <c r="F120" t="inlineStr">
        <is>
          <t>VÄSTERBOTTENS LÄN</t>
        </is>
      </c>
      <c r="G120" t="inlineStr">
        <is>
          <t>MALÅ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49840-2023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46252</v>
      </c>
      <c r="F121" t="inlineStr">
        <is>
          <t>VÄSTERBOTTENS LÄN</t>
        </is>
      </c>
      <c r="G121" t="inlineStr">
        <is>
          <t>MALÅ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45166</v>
      </c>
      <c r="E122" s="1" t="n">
        <v>46252</v>
      </c>
      <c r="F122" t="inlineStr">
        <is>
          <t>VÄSTERBOTTENS LÄN</t>
        </is>
      </c>
      <c r="G122" t="inlineStr">
        <is>
          <t>MALÅ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46252</v>
      </c>
      <c r="F123" t="inlineStr">
        <is>
          <t>VÄSTERBOTTENS LÄN</t>
        </is>
      </c>
      <c r="G123" t="inlineStr">
        <is>
          <t>MALÅ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46252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46252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54463-2025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45964</v>
      </c>
      <c r="E126" s="1" t="n">
        <v>46252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54455-2025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45964</v>
      </c>
      <c r="E127" s="1" t="n">
        <v>46252</v>
      </c>
      <c r="F127" t="inlineStr">
        <is>
          <t>VÄSTERBOTTENS LÄN</t>
        </is>
      </c>
      <c r="G127" t="inlineStr">
        <is>
          <t>MALÅ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46252</v>
      </c>
      <c r="F128" t="inlineStr">
        <is>
          <t>VÄSTERBOTTENS LÄN</t>
        </is>
      </c>
      <c r="G128" t="inlineStr">
        <is>
          <t>MALÅ</t>
        </is>
      </c>
      <c r="I128" t="n">
        <v>10.5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20234-2023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45054</v>
      </c>
      <c r="E129" s="1" t="n">
        <v>46252</v>
      </c>
      <c r="F129" t="inlineStr">
        <is>
          <t>VÄSTERBOTTENS LÄN</t>
        </is>
      </c>
      <c r="G129" t="inlineStr">
        <is>
          <t>MALÅ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46252</v>
      </c>
      <c r="F130" t="inlineStr">
        <is>
          <t>VÄSTERBOTTENS LÄN</t>
        </is>
      </c>
      <c r="G130" t="inlineStr">
        <is>
          <t>MALÅ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46252</v>
      </c>
      <c r="F131" t="inlineStr">
        <is>
          <t>VÄSTERBOTTENS LÄN</t>
        </is>
      </c>
      <c r="G131" t="inlineStr">
        <is>
          <t>MALÅ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46252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45973</v>
      </c>
      <c r="E133" s="1" t="n">
        <v>46252</v>
      </c>
      <c r="F133" t="inlineStr">
        <is>
          <t>VÄSTERBOTTENS LÄN</t>
        </is>
      </c>
      <c r="G133" t="inlineStr">
        <is>
          <t>MALÅ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36706-2023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46252</v>
      </c>
      <c r="F134" t="inlineStr">
        <is>
          <t>VÄSTERBOTTENS LÄN</t>
        </is>
      </c>
      <c r="G134" t="inlineStr">
        <is>
          <t>MALÅ</t>
        </is>
      </c>
      <c r="I134" t="n">
        <v>41.7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45193</v>
      </c>
      <c r="E135" s="1" t="n">
        <v>46252</v>
      </c>
      <c r="F135" t="inlineStr">
        <is>
          <t>VÄSTERBOTTENS LÄN</t>
        </is>
      </c>
      <c r="G135" t="inlineStr">
        <is>
          <t>MALÅ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45189</v>
      </c>
      <c r="E136" s="1" t="n">
        <v>46252</v>
      </c>
      <c r="F136" t="inlineStr">
        <is>
          <t>VÄSTERBOTTENS LÄN</t>
        </is>
      </c>
      <c r="G136" t="inlineStr">
        <is>
          <t>MALÅ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46252</v>
      </c>
      <c r="F137" t="inlineStr">
        <is>
          <t>VÄSTERBOTTENS LÄN</t>
        </is>
      </c>
      <c r="G137" t="inlineStr">
        <is>
          <t>MALÅ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46252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46252</v>
      </c>
      <c r="F139" t="inlineStr">
        <is>
          <t>VÄSTERBOTTENS LÄN</t>
        </is>
      </c>
      <c r="G139" t="inlineStr">
        <is>
          <t>MALÅ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46252</v>
      </c>
      <c r="F140" t="inlineStr">
        <is>
          <t>VÄSTERBOTTENS LÄN</t>
        </is>
      </c>
      <c r="G140" t="inlineStr">
        <is>
          <t>MALÅ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46252</v>
      </c>
      <c r="F141" t="inlineStr">
        <is>
          <t>VÄSTERBOTTENS LÄN</t>
        </is>
      </c>
      <c r="G141" t="inlineStr">
        <is>
          <t>MALÅ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46252</v>
      </c>
      <c r="F142" t="inlineStr">
        <is>
          <t>VÄSTERBOTTENS LÄN</t>
        </is>
      </c>
      <c r="G142" t="inlineStr">
        <is>
          <t>MALÅ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44439</v>
      </c>
      <c r="E143" s="1" t="n">
        <v>46252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48.3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46252</v>
      </c>
      <c r="F144" t="inlineStr">
        <is>
          <t>VÄSTERBOTTENS LÄN</t>
        </is>
      </c>
      <c r="G144" t="inlineStr">
        <is>
          <t>MALÅ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46252</v>
      </c>
      <c r="F145" t="inlineStr">
        <is>
          <t>VÄSTERBOTTENS LÄN</t>
        </is>
      </c>
      <c r="G145" t="inlineStr">
        <is>
          <t>MALÅ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46252</v>
      </c>
      <c r="F146" t="inlineStr">
        <is>
          <t>VÄSTERBOTTENS LÄN</t>
        </is>
      </c>
      <c r="G146" t="inlineStr">
        <is>
          <t>MALÅ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45694</v>
      </c>
      <c r="E147" s="1" t="n">
        <v>46252</v>
      </c>
      <c r="F147" t="inlineStr">
        <is>
          <t>VÄSTERBOTTENS LÄN</t>
        </is>
      </c>
      <c r="G147" t="inlineStr">
        <is>
          <t>MALÅ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45227</v>
      </c>
      <c r="E148" s="1" t="n">
        <v>46252</v>
      </c>
      <c r="F148" t="inlineStr">
        <is>
          <t>VÄSTERBOTTENS LÄN</t>
        </is>
      </c>
      <c r="G148" t="inlineStr">
        <is>
          <t>MALÅ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46252</v>
      </c>
      <c r="F149" t="inlineStr">
        <is>
          <t>VÄSTERBOTTENS LÄN</t>
        </is>
      </c>
      <c r="G149" t="inlineStr">
        <is>
          <t>MALÅ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45149</v>
      </c>
      <c r="E150" s="1" t="n">
        <v>46252</v>
      </c>
      <c r="F150" t="inlineStr">
        <is>
          <t>VÄSTERBOTTENS LÄN</t>
        </is>
      </c>
      <c r="G150" t="inlineStr">
        <is>
          <t>MALÅ</t>
        </is>
      </c>
      <c r="I150" t="n">
        <v>26.9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46252</v>
      </c>
      <c r="F151" t="inlineStr">
        <is>
          <t>VÄSTERBOTTENS LÄN</t>
        </is>
      </c>
      <c r="G151" t="inlineStr">
        <is>
          <t>MALÅ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47799-2023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46252</v>
      </c>
      <c r="F152" t="inlineStr">
        <is>
          <t>VÄSTERBOTTENS LÄN</t>
        </is>
      </c>
      <c r="G152" t="inlineStr">
        <is>
          <t>MALÅ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46252</v>
      </c>
      <c r="F153" t="inlineStr">
        <is>
          <t>VÄSTERBOTTENS LÄN</t>
        </is>
      </c>
      <c r="G153" t="inlineStr">
        <is>
          <t>MALÅ</t>
        </is>
      </c>
      <c r="I153" t="n">
        <v>20.7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45225</v>
      </c>
      <c r="E154" s="1" t="n">
        <v>46252</v>
      </c>
      <c r="F154" t="inlineStr">
        <is>
          <t>VÄSTERBOTTENS LÄN</t>
        </is>
      </c>
      <c r="G154" t="inlineStr">
        <is>
          <t>MALÅ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45987</v>
      </c>
      <c r="E155" s="1" t="n">
        <v>46252</v>
      </c>
      <c r="F155" t="inlineStr">
        <is>
          <t>VÄSTERBOTTENS LÄN</t>
        </is>
      </c>
      <c r="G155" t="inlineStr">
        <is>
          <t>MALÅ</t>
        </is>
      </c>
      <c r="I155" t="n">
        <v>19.2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45987</v>
      </c>
      <c r="E156" s="1" t="n">
        <v>46252</v>
      </c>
      <c r="F156" t="inlineStr">
        <is>
          <t>VÄSTERBOTTENS LÄN</t>
        </is>
      </c>
      <c r="G156" t="inlineStr">
        <is>
          <t>MALÅ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46252</v>
      </c>
      <c r="F157" t="inlineStr">
        <is>
          <t>VÄSTERBOTTENS LÄN</t>
        </is>
      </c>
      <c r="G157" t="inlineStr">
        <is>
          <t>MALÅ</t>
        </is>
      </c>
      <c r="I157" t="n">
        <v>48.2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45154</v>
      </c>
      <c r="E158" s="1" t="n">
        <v>46252</v>
      </c>
      <c r="F158" t="inlineStr">
        <is>
          <t>VÄSTERBOTTENS LÄN</t>
        </is>
      </c>
      <c r="G158" t="inlineStr">
        <is>
          <t>MALÅ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46252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46252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46252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45179</v>
      </c>
      <c r="E162" s="1" t="n">
        <v>46252</v>
      </c>
      <c r="F162" t="inlineStr">
        <is>
          <t>VÄSTERBOTTENS LÄN</t>
        </is>
      </c>
      <c r="G162" t="inlineStr">
        <is>
          <t>MALÅ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46252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46252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46252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61990-2024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46252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32772-2024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45516</v>
      </c>
      <c r="E167" s="1" t="n">
        <v>46252</v>
      </c>
      <c r="F167" t="inlineStr">
        <is>
          <t>VÄSTERBOTTENS LÄN</t>
        </is>
      </c>
      <c r="G167" t="inlineStr">
        <is>
          <t>MALÅ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46252</v>
      </c>
      <c r="F168" t="inlineStr">
        <is>
          <t>VÄSTERBOTTENS LÄN</t>
        </is>
      </c>
      <c r="G168" t="inlineStr">
        <is>
          <t>MALÅ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46252</v>
      </c>
      <c r="F169" t="inlineStr">
        <is>
          <t>VÄSTERBOTTENS LÄN</t>
        </is>
      </c>
      <c r="G169" t="inlineStr">
        <is>
          <t>MALÅ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44641</v>
      </c>
      <c r="E170" s="1" t="n">
        <v>46252</v>
      </c>
      <c r="F170" t="inlineStr">
        <is>
          <t>VÄSTERBOTTENS LÄN</t>
        </is>
      </c>
      <c r="G170" t="inlineStr">
        <is>
          <t>MALÅ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44426-2023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45188</v>
      </c>
      <c r="E171" s="1" t="n">
        <v>46252</v>
      </c>
      <c r="F171" t="inlineStr">
        <is>
          <t>VÄSTERBOTTENS LÄN</t>
        </is>
      </c>
      <c r="G171" t="inlineStr">
        <is>
          <t>MALÅ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46252</v>
      </c>
      <c r="F172" t="inlineStr">
        <is>
          <t>VÄSTERBOTTENS LÄN</t>
        </is>
      </c>
      <c r="G172" t="inlineStr">
        <is>
          <t>MALÅ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46252</v>
      </c>
      <c r="F173" t="inlineStr">
        <is>
          <t>VÄSTERBOTTENS LÄN</t>
        </is>
      </c>
      <c r="G173" t="inlineStr">
        <is>
          <t>MALÅ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54198-2025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46252</v>
      </c>
      <c r="F174" t="inlineStr">
        <is>
          <t>VÄSTERBOTTENS LÄN</t>
        </is>
      </c>
      <c r="G174" t="inlineStr">
        <is>
          <t>MALÅ</t>
        </is>
      </c>
      <c r="I174" t="n">
        <v>19.5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45174</v>
      </c>
      <c r="E175" s="1" t="n">
        <v>46252</v>
      </c>
      <c r="F175" t="inlineStr">
        <is>
          <t>VÄSTERBOTTENS LÄN</t>
        </is>
      </c>
      <c r="G175" t="inlineStr">
        <is>
          <t>MALÅ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45174</v>
      </c>
      <c r="E176" s="1" t="n">
        <v>46252</v>
      </c>
      <c r="F176" t="inlineStr">
        <is>
          <t>VÄSTERBOTTENS LÄN</t>
        </is>
      </c>
      <c r="G176" t="inlineStr">
        <is>
          <t>MALÅ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46252</v>
      </c>
      <c r="F177" t="inlineStr">
        <is>
          <t>VÄSTERBOTTENS LÄN</t>
        </is>
      </c>
      <c r="G177" t="inlineStr">
        <is>
          <t>MALÅ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45178</v>
      </c>
      <c r="E178" s="1" t="n">
        <v>46252</v>
      </c>
      <c r="F178" t="inlineStr">
        <is>
          <t>VÄSTERBOTTENS LÄN</t>
        </is>
      </c>
      <c r="G178" t="inlineStr">
        <is>
          <t>MALÅ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46252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46252</v>
      </c>
      <c r="F180" t="inlineStr">
        <is>
          <t>VÄSTERBOTTENS LÄN</t>
        </is>
      </c>
      <c r="G180" t="inlineStr">
        <is>
          <t>MALÅ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46252</v>
      </c>
      <c r="F181" t="inlineStr">
        <is>
          <t>VÄSTERBOTTENS LÄN</t>
        </is>
      </c>
      <c r="G181" t="inlineStr">
        <is>
          <t>MALÅ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46252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63.6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46252</v>
      </c>
      <c r="F183" t="inlineStr">
        <is>
          <t>VÄSTERBOTTENS LÄN</t>
        </is>
      </c>
      <c r="G183" t="inlineStr">
        <is>
          <t>MALÅ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46252</v>
      </c>
      <c r="F184" t="inlineStr">
        <is>
          <t>VÄSTERBOTTENS LÄN</t>
        </is>
      </c>
      <c r="G184" t="inlineStr">
        <is>
          <t>MALÅ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48224-2024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45590</v>
      </c>
      <c r="E185" s="1" t="n">
        <v>46252</v>
      </c>
      <c r="F185" t="inlineStr">
        <is>
          <t>VÄSTERBOTTENS LÄN</t>
        </is>
      </c>
      <c r="G185" t="inlineStr">
        <is>
          <t>MALÅ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46223</v>
      </c>
      <c r="E186" s="1" t="n">
        <v>46252</v>
      </c>
      <c r="F186" t="inlineStr">
        <is>
          <t>VÄSTERBOTTENS LÄN</t>
        </is>
      </c>
      <c r="G186" t="inlineStr">
        <is>
          <t>MALÅ</t>
        </is>
      </c>
      <c r="H186" t="inlineStr">
        <is>
          <t>SCA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46223</v>
      </c>
      <c r="E187" s="1" t="n">
        <v>46252</v>
      </c>
      <c r="F187" t="inlineStr">
        <is>
          <t>VÄSTERBOTTENS LÄN</t>
        </is>
      </c>
      <c r="G187" t="inlineStr">
        <is>
          <t>MALÅ</t>
        </is>
      </c>
      <c r="H187" t="inlineStr">
        <is>
          <t>SCA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46252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46252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46252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46252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45212</v>
      </c>
      <c r="E192" s="1" t="n">
        <v>46252</v>
      </c>
      <c r="F192" t="inlineStr">
        <is>
          <t>VÄSTERBOTTENS LÄN</t>
        </is>
      </c>
      <c r="G192" t="inlineStr">
        <is>
          <t>MALÅ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46252</v>
      </c>
      <c r="F193" t="inlineStr">
        <is>
          <t>VÄSTERBOTTENS LÄN</t>
        </is>
      </c>
      <c r="G193" t="inlineStr">
        <is>
          <t>MALÅ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46252</v>
      </c>
      <c r="F194" t="inlineStr">
        <is>
          <t>VÄSTERBOTTENS LÄN</t>
        </is>
      </c>
      <c r="G194" t="inlineStr">
        <is>
          <t>MALÅ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46252</v>
      </c>
      <c r="F195" t="inlineStr">
        <is>
          <t>VÄSTERBOTTENS LÄN</t>
        </is>
      </c>
      <c r="G195" t="inlineStr">
        <is>
          <t>MALÅ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51723-2023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46252</v>
      </c>
      <c r="F196" t="inlineStr">
        <is>
          <t>VÄSTERBOTTENS LÄN</t>
        </is>
      </c>
      <c r="G196" t="inlineStr">
        <is>
          <t>MALÅ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46252</v>
      </c>
      <c r="F197" t="inlineStr">
        <is>
          <t>VÄSTERBOTTENS LÄN</t>
        </is>
      </c>
      <c r="G197" t="inlineStr">
        <is>
          <t>MALÅ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46252</v>
      </c>
      <c r="F198" t="inlineStr">
        <is>
          <t>VÄSTERBOTTENS LÄN</t>
        </is>
      </c>
      <c r="G198" t="inlineStr">
        <is>
          <t>MALÅ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44939</v>
      </c>
      <c r="E199" s="1" t="n">
        <v>46252</v>
      </c>
      <c r="F199" t="inlineStr">
        <is>
          <t>VÄSTERBOTTENS LÄN</t>
        </is>
      </c>
      <c r="G199" t="inlineStr">
        <is>
          <t>MALÅ</t>
        </is>
      </c>
      <c r="H199" t="inlineStr">
        <is>
          <t>SCA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46252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45193</v>
      </c>
      <c r="E201" s="1" t="n">
        <v>46252</v>
      </c>
      <c r="F201" t="inlineStr">
        <is>
          <t>VÄSTERBOTTENS LÄN</t>
        </is>
      </c>
      <c r="G201" t="inlineStr">
        <is>
          <t>MALÅ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46252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46066-2021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44441</v>
      </c>
      <c r="E203" s="1" t="n">
        <v>46252</v>
      </c>
      <c r="F203" t="inlineStr">
        <is>
          <t>VÄSTERBOTTENS LÄN</t>
        </is>
      </c>
      <c r="G203" t="inlineStr">
        <is>
          <t>MALÅ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46252</v>
      </c>
      <c r="F204" t="inlineStr">
        <is>
          <t>VÄSTERBOTTENS LÄN</t>
        </is>
      </c>
      <c r="G204" t="inlineStr">
        <is>
          <t>MALÅ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46252</v>
      </c>
      <c r="F205" t="inlineStr">
        <is>
          <t>VÄSTERBOTTENS LÄN</t>
        </is>
      </c>
      <c r="G205" t="inlineStr">
        <is>
          <t>MALÅ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46252</v>
      </c>
      <c r="F206" t="inlineStr">
        <is>
          <t>VÄSTERBOTTENS LÄN</t>
        </is>
      </c>
      <c r="G206" t="inlineStr">
        <is>
          <t>MALÅ</t>
        </is>
      </c>
      <c r="I206" t="n">
        <v>13.3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46252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25.9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46252</v>
      </c>
      <c r="F208" t="inlineStr">
        <is>
          <t>VÄSTERBOTTENS LÄN</t>
        </is>
      </c>
      <c r="G208" t="inlineStr">
        <is>
          <t>MALÅ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46252</v>
      </c>
      <c r="F209" t="inlineStr">
        <is>
          <t>VÄSTERBOTTENS LÄN</t>
        </is>
      </c>
      <c r="G209" t="inlineStr">
        <is>
          <t>MALÅ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46252</v>
      </c>
      <c r="F210" t="inlineStr">
        <is>
          <t>VÄSTERBOTTENS LÄN</t>
        </is>
      </c>
      <c r="G210" t="inlineStr">
        <is>
          <t>MALÅ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46252</v>
      </c>
      <c r="F211" t="inlineStr">
        <is>
          <t>VÄSTERBOTTENS LÄN</t>
        </is>
      </c>
      <c r="G211" t="inlineStr">
        <is>
          <t>MALÅ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46252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46252</v>
      </c>
      <c r="F213" t="inlineStr">
        <is>
          <t>VÄSTERBOTTENS LÄN</t>
        </is>
      </c>
      <c r="G213" t="inlineStr">
        <is>
          <t>MALÅ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46252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46252</v>
      </c>
      <c r="F215" t="inlineStr">
        <is>
          <t>VÄSTERBOTTENS LÄN</t>
        </is>
      </c>
      <c r="G215" t="inlineStr">
        <is>
          <t>MALÅ</t>
        </is>
      </c>
      <c r="I215" t="n">
        <v>41.2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46252</v>
      </c>
      <c r="F216" t="inlineStr">
        <is>
          <t>VÄSTERBOTTENS LÄN</t>
        </is>
      </c>
      <c r="G216" t="inlineStr">
        <is>
          <t>MALÅ</t>
        </is>
      </c>
      <c r="H216" t="inlineStr">
        <is>
          <t>SCA</t>
        </is>
      </c>
      <c r="I216" t="n">
        <v>10.2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46252</v>
      </c>
      <c r="F217" t="inlineStr">
        <is>
          <t>VÄSTERBOTTENS LÄN</t>
        </is>
      </c>
      <c r="G217" t="inlineStr">
        <is>
          <t>MALÅ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46252</v>
      </c>
      <c r="F218" t="inlineStr">
        <is>
          <t>VÄSTERBOTTENS LÄN</t>
        </is>
      </c>
      <c r="G218" t="inlineStr">
        <is>
          <t>MALÅ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46252</v>
      </c>
      <c r="F219" t="inlineStr">
        <is>
          <t>VÄSTERBOTTENS LÄN</t>
        </is>
      </c>
      <c r="G219" t="inlineStr">
        <is>
          <t>MALÅ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46252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46252</v>
      </c>
      <c r="F221" t="inlineStr">
        <is>
          <t>VÄSTERBOTTENS LÄN</t>
        </is>
      </c>
      <c r="G221" t="inlineStr">
        <is>
          <t>MALÅ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46252</v>
      </c>
      <c r="F222" t="inlineStr">
        <is>
          <t>VÄSTERBOTTENS LÄN</t>
        </is>
      </c>
      <c r="G222" t="inlineStr">
        <is>
          <t>MALÅ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46252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45267</v>
      </c>
      <c r="E224" s="1" t="n">
        <v>46252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3471-2026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46042</v>
      </c>
      <c r="E225" s="1" t="n">
        <v>46252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45178</v>
      </c>
      <c r="E226" s="1" t="n">
        <v>46252</v>
      </c>
      <c r="F226" t="inlineStr">
        <is>
          <t>VÄSTERBOTTENS LÄN</t>
        </is>
      </c>
      <c r="G226" t="inlineStr">
        <is>
          <t>MALÅ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46252</v>
      </c>
      <c r="F227" t="inlineStr">
        <is>
          <t>VÄSTERBOTTENS LÄN</t>
        </is>
      </c>
      <c r="G227" t="inlineStr">
        <is>
          <t>MALÅ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45158</v>
      </c>
      <c r="E228" s="1" t="n">
        <v>46252</v>
      </c>
      <c r="F228" t="inlineStr">
        <is>
          <t>VÄSTERBOTTENS LÄN</t>
        </is>
      </c>
      <c r="G228" t="inlineStr">
        <is>
          <t>MALÅ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46252</v>
      </c>
      <c r="F229" t="inlineStr">
        <is>
          <t>VÄSTERBOTTENS LÄN</t>
        </is>
      </c>
      <c r="G229" t="inlineStr">
        <is>
          <t>MALÅ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45184</v>
      </c>
      <c r="E230" s="1" t="n">
        <v>46252</v>
      </c>
      <c r="F230" t="inlineStr">
        <is>
          <t>VÄSTERBOTTENS LÄN</t>
        </is>
      </c>
      <c r="G230" t="inlineStr">
        <is>
          <t>MALÅ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46252</v>
      </c>
      <c r="F231" t="inlineStr">
        <is>
          <t>VÄSTERBOTTENS LÄN</t>
        </is>
      </c>
      <c r="G231" t="inlineStr">
        <is>
          <t>MALÅ</t>
        </is>
      </c>
      <c r="I231" t="n">
        <v>16.2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46252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21.8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46252</v>
      </c>
      <c r="F233" t="inlineStr">
        <is>
          <t>VÄSTERBOTTENS LÄN</t>
        </is>
      </c>
      <c r="G233" t="inlineStr">
        <is>
          <t>MALÅ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45610</v>
      </c>
      <c r="E234" s="1" t="n">
        <v>46252</v>
      </c>
      <c r="F234" t="inlineStr">
        <is>
          <t>VÄSTERBOTTENS LÄN</t>
        </is>
      </c>
      <c r="G234" t="inlineStr">
        <is>
          <t>MALÅ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46252</v>
      </c>
      <c r="F235" t="inlineStr">
        <is>
          <t>VÄSTERBOTTENS LÄN</t>
        </is>
      </c>
      <c r="G235" t="inlineStr">
        <is>
          <t>MALÅ</t>
        </is>
      </c>
      <c r="H235" t="inlineStr">
        <is>
          <t>Kyrkan</t>
        </is>
      </c>
      <c r="I235" t="n">
        <v>84.5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45152</v>
      </c>
      <c r="E236" s="1" t="n">
        <v>46252</v>
      </c>
      <c r="F236" t="inlineStr">
        <is>
          <t>VÄSTERBOTTENS LÄN</t>
        </is>
      </c>
      <c r="G236" t="inlineStr">
        <is>
          <t>MALÅ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46252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45154</v>
      </c>
      <c r="E238" s="1" t="n">
        <v>46252</v>
      </c>
      <c r="F238" t="inlineStr">
        <is>
          <t>VÄSTERBOTTENS LÄN</t>
        </is>
      </c>
      <c r="G238" t="inlineStr">
        <is>
          <t>MALÅ</t>
        </is>
      </c>
      <c r="I238" t="n">
        <v>63.5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46252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8648-2026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46066</v>
      </c>
      <c r="E240" s="1" t="n">
        <v>46252</v>
      </c>
      <c r="F240" t="inlineStr">
        <is>
          <t>VÄSTERBOTTENS LÄN</t>
        </is>
      </c>
      <c r="G240" t="inlineStr">
        <is>
          <t>MALÅ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45201</v>
      </c>
      <c r="E241" s="1" t="n">
        <v>46252</v>
      </c>
      <c r="F241" t="inlineStr">
        <is>
          <t>VÄSTERBOTTENS LÄN</t>
        </is>
      </c>
      <c r="G241" t="inlineStr">
        <is>
          <t>MALÅ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46252</v>
      </c>
      <c r="F242" t="inlineStr">
        <is>
          <t>VÄSTERBOTTENS LÄN</t>
        </is>
      </c>
      <c r="G242" t="inlineStr">
        <is>
          <t>MALÅ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46252</v>
      </c>
      <c r="F243" t="inlineStr">
        <is>
          <t>VÄSTERBOTTENS LÄN</t>
        </is>
      </c>
      <c r="G243" t="inlineStr">
        <is>
          <t>MALÅ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46252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46252</v>
      </c>
      <c r="F245" t="inlineStr">
        <is>
          <t>VÄSTERBOTTENS LÄN</t>
        </is>
      </c>
      <c r="G245" t="inlineStr">
        <is>
          <t>MALÅ</t>
        </is>
      </c>
      <c r="I245" t="n">
        <v>30.4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46252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45233</v>
      </c>
      <c r="E247" s="1" t="n">
        <v>46252</v>
      </c>
      <c r="F247" t="inlineStr">
        <is>
          <t>VÄSTERBOTTENS LÄN</t>
        </is>
      </c>
      <c r="G247" t="inlineStr">
        <is>
          <t>MALÅ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46252</v>
      </c>
      <c r="F248" t="inlineStr">
        <is>
          <t>VÄSTERBOTTENS LÄN</t>
        </is>
      </c>
      <c r="G248" t="inlineStr">
        <is>
          <t>MALÅ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45642</v>
      </c>
      <c r="E249" s="1" t="n">
        <v>46252</v>
      </c>
      <c r="F249" t="inlineStr">
        <is>
          <t>VÄSTERBOTTENS LÄN</t>
        </is>
      </c>
      <c r="G249" t="inlineStr">
        <is>
          <t>MALÅ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33690-2024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45520</v>
      </c>
      <c r="E250" s="1" t="n">
        <v>46252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45622</v>
      </c>
      <c r="E251" s="1" t="n">
        <v>46252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46252</v>
      </c>
      <c r="F252" t="inlineStr">
        <is>
          <t>VÄSTERBOTTENS LÄN</t>
        </is>
      </c>
      <c r="G252" t="inlineStr">
        <is>
          <t>MALÅ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46252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46252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46252</v>
      </c>
      <c r="F255" t="inlineStr">
        <is>
          <t>VÄSTERBOTTENS LÄN</t>
        </is>
      </c>
      <c r="G255" t="inlineStr">
        <is>
          <t>MALÅ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59866-2021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44491</v>
      </c>
      <c r="E256" s="1" t="n">
        <v>46252</v>
      </c>
      <c r="F256" t="inlineStr">
        <is>
          <t>VÄSTERBOTTENS LÄN</t>
        </is>
      </c>
      <c r="G256" t="inlineStr">
        <is>
          <t>MALÅ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46252</v>
      </c>
      <c r="F257" t="inlineStr">
        <is>
          <t>VÄSTERBOTTENS LÄN</t>
        </is>
      </c>
      <c r="G257" t="inlineStr">
        <is>
          <t>MALÅ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46097</v>
      </c>
      <c r="E258" s="1" t="n">
        <v>46252</v>
      </c>
      <c r="F258" t="inlineStr">
        <is>
          <t>VÄSTERBOTTENS LÄN</t>
        </is>
      </c>
      <c r="G258" t="inlineStr">
        <is>
          <t>MALÅ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46252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46232</v>
      </c>
      <c r="E260" s="1" t="n">
        <v>46252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46252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46252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46252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46252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46252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46252</v>
      </c>
      <c r="F266" t="inlineStr">
        <is>
          <t>VÄSTERBOTTENS LÄN</t>
        </is>
      </c>
      <c r="G266" t="inlineStr">
        <is>
          <t>MALÅ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46252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46252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46252</v>
      </c>
      <c r="F269" t="inlineStr">
        <is>
          <t>VÄSTERBOTTENS LÄN</t>
        </is>
      </c>
      <c r="G269" t="inlineStr">
        <is>
          <t>MALÅ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46114</v>
      </c>
      <c r="E270" s="1" t="n">
        <v>46252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19.7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46252</v>
      </c>
      <c r="F271" t="inlineStr">
        <is>
          <t>VÄSTERBOTTENS LÄN</t>
        </is>
      </c>
      <c r="G271" t="inlineStr">
        <is>
          <t>MALÅ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46252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46252</v>
      </c>
      <c r="F273" t="inlineStr">
        <is>
          <t>VÄSTERBOTTENS LÄN</t>
        </is>
      </c>
      <c r="G273" t="inlineStr">
        <is>
          <t>MALÅ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45223</v>
      </c>
      <c r="E274" s="1" t="n">
        <v>46252</v>
      </c>
      <c r="F274" t="inlineStr">
        <is>
          <t>VÄSTERBOTTENS LÄN</t>
        </is>
      </c>
      <c r="G274" t="inlineStr">
        <is>
          <t>MALÅ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46196</v>
      </c>
      <c r="E275" s="1" t="n">
        <v>46252</v>
      </c>
      <c r="F275" t="inlineStr">
        <is>
          <t>VÄSTERBOTTENS LÄN</t>
        </is>
      </c>
      <c r="G275" t="inlineStr">
        <is>
          <t>MALÅ</t>
        </is>
      </c>
      <c r="I275" t="n">
        <v>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46252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45694</v>
      </c>
      <c r="E277" s="1" t="n">
        <v>46252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45369</v>
      </c>
      <c r="E278" s="1" t="n">
        <v>46252</v>
      </c>
      <c r="F278" t="inlineStr">
        <is>
          <t>VÄSTERBOTTENS LÄN</t>
        </is>
      </c>
      <c r="G278" t="inlineStr">
        <is>
          <t>MALÅ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46252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46252</v>
      </c>
      <c r="F280" t="inlineStr">
        <is>
          <t>VÄSTERBOTTENS LÄN</t>
        </is>
      </c>
      <c r="G280" t="inlineStr">
        <is>
          <t>MALÅ</t>
        </is>
      </c>
      <c r="I280" t="n">
        <v>17.5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46252</v>
      </c>
      <c r="F281" t="inlineStr">
        <is>
          <t>VÄSTERBOTTENS LÄN</t>
        </is>
      </c>
      <c r="G281" t="inlineStr">
        <is>
          <t>MALÅ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41852-2023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46252</v>
      </c>
      <c r="F282" t="inlineStr">
        <is>
          <t>VÄSTERBOTTENS LÄN</t>
        </is>
      </c>
      <c r="G282" t="inlineStr">
        <is>
          <t>MALÅ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45176</v>
      </c>
      <c r="E283" s="1" t="n">
        <v>46252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46252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46252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46252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46252</v>
      </c>
      <c r="F287" t="inlineStr">
        <is>
          <t>VÄSTERBOTTENS LÄN</t>
        </is>
      </c>
      <c r="G287" t="inlineStr">
        <is>
          <t>MALÅ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45171</v>
      </c>
      <c r="E288" s="1" t="n">
        <v>46252</v>
      </c>
      <c r="F288" t="inlineStr">
        <is>
          <t>VÄSTERBOTTENS LÄN</t>
        </is>
      </c>
      <c r="G288" t="inlineStr">
        <is>
          <t>MALÅ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46252</v>
      </c>
      <c r="F289" t="inlineStr">
        <is>
          <t>VÄSTERBOTTENS LÄN</t>
        </is>
      </c>
      <c r="G289" t="inlineStr">
        <is>
          <t>MALÅ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  <c r="Z289">
        <f>HYPERLINK("https://klasma.github.io/Logging_2418/knärot/A 41353-2023 karta knärot.png", "A 41353-2023")</f>
        <v/>
      </c>
      <c r="AA289">
        <f>HYPERLINK("https://klasma.github.io/Logging_2418/klagomål/A 41353-2023 FSC-klagomål.docx", "A 41353-2023")</f>
        <v/>
      </c>
      <c r="AB289">
        <f>HYPERLINK("https://klasma.github.io/Logging_2418/klagomålsmail/A 41353-2023 FSC-klagomål mail.docx", "A 41353-2023")</f>
        <v/>
      </c>
      <c r="AC289">
        <f>HYPERLINK("https://klasma.github.io/Logging_2418/tillsyn/A 41353-2023 tillsynsbegäran.docx", "A 41353-2023")</f>
        <v/>
      </c>
      <c r="AD289">
        <f>HYPERLINK("https://klasma.github.io/Logging_2418/tillsynsmail/A 41353-2023 tillsynsbegäran mail.docx", "A 41353-2023")</f>
        <v/>
      </c>
    </row>
    <row r="290" ht="15" customHeight="1">
      <c r="A290" t="inlineStr">
        <is>
          <t>A 32769-2024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45516</v>
      </c>
      <c r="E290" s="1" t="n">
        <v>46252</v>
      </c>
      <c r="F290" t="inlineStr">
        <is>
          <t>VÄSTERBOTTENS LÄN</t>
        </is>
      </c>
      <c r="G290" t="inlineStr">
        <is>
          <t>MALÅ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46252</v>
      </c>
      <c r="F291" t="inlineStr">
        <is>
          <t>VÄSTERBOTTENS LÄN</t>
        </is>
      </c>
      <c r="G291" t="inlineStr">
        <is>
          <t>MALÅ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46252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46252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44802</v>
      </c>
      <c r="E294" s="1" t="n">
        <v>46252</v>
      </c>
      <c r="F294" t="inlineStr">
        <is>
          <t>VÄSTERBOTTENS LÄN</t>
        </is>
      </c>
      <c r="G294" t="inlineStr">
        <is>
          <t>MALÅ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46252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30.8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46252</v>
      </c>
      <c r="F296" t="inlineStr">
        <is>
          <t>VÄSTERBOTTENS LÄN</t>
        </is>
      </c>
      <c r="G296" t="inlineStr">
        <is>
          <t>MALÅ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49434-2023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45211</v>
      </c>
      <c r="E297" s="1" t="n">
        <v>46252</v>
      </c>
      <c r="F297" t="inlineStr">
        <is>
          <t>VÄSTERBOTTENS LÄN</t>
        </is>
      </c>
      <c r="G297" t="inlineStr">
        <is>
          <t>MALÅ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46252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46252</v>
      </c>
      <c r="F299" t="inlineStr">
        <is>
          <t>VÄSTERBOTTENS LÄN</t>
        </is>
      </c>
      <c r="G299" t="inlineStr">
        <is>
          <t>MALÅ</t>
        </is>
      </c>
      <c r="I299" t="n">
        <v>27.9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32767-2024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45516</v>
      </c>
      <c r="E300" s="1" t="n">
        <v>46252</v>
      </c>
      <c r="F300" t="inlineStr">
        <is>
          <t>VÄSTERBOTTENS LÄN</t>
        </is>
      </c>
      <c r="G300" t="inlineStr">
        <is>
          <t>MALÅ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46252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46252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26853-2026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46185</v>
      </c>
      <c r="E303" s="1" t="n">
        <v>46252</v>
      </c>
      <c r="F303" t="inlineStr">
        <is>
          <t>VÄSTERBOTTENS LÄN</t>
        </is>
      </c>
      <c r="G303" t="inlineStr">
        <is>
          <t>MALÅ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46246</v>
      </c>
      <c r="E304" s="1" t="n">
        <v>46252</v>
      </c>
      <c r="F304" t="inlineStr">
        <is>
          <t>VÄSTERBOTTENS LÄN</t>
        </is>
      </c>
      <c r="G304" t="inlineStr">
        <is>
          <t>MALÅ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46246</v>
      </c>
      <c r="E305" s="1" t="n">
        <v>46252</v>
      </c>
      <c r="F305" t="inlineStr">
        <is>
          <t>VÄSTERBOTTENS LÄN</t>
        </is>
      </c>
      <c r="G305" t="inlineStr">
        <is>
          <t>MALÅ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46252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45989</v>
      </c>
      <c r="E307" s="1" t="n">
        <v>46252</v>
      </c>
      <c r="F307" t="inlineStr">
        <is>
          <t>VÄSTERBOTTENS LÄN</t>
        </is>
      </c>
      <c r="G307" t="inlineStr">
        <is>
          <t>MALÅ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45714</v>
      </c>
      <c r="E308" s="1" t="n">
        <v>46252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18.7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46252</v>
      </c>
      <c r="F309" t="inlineStr">
        <is>
          <t>VÄSTERBOTTENS LÄN</t>
        </is>
      </c>
      <c r="G309" t="inlineStr">
        <is>
          <t>MALÅ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45152</v>
      </c>
      <c r="E310" s="1" t="n">
        <v>46252</v>
      </c>
      <c r="F310" t="inlineStr">
        <is>
          <t>VÄSTERBOTTENS LÄN</t>
        </is>
      </c>
      <c r="G310" t="inlineStr">
        <is>
          <t>MALÅ</t>
        </is>
      </c>
      <c r="I310" t="n">
        <v>13.3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46252</v>
      </c>
      <c r="F311" t="inlineStr">
        <is>
          <t>VÄSTERBOTTENS LÄN</t>
        </is>
      </c>
      <c r="G311" t="inlineStr">
        <is>
          <t>MALÅ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45153</v>
      </c>
      <c r="E312" s="1" t="n">
        <v>46252</v>
      </c>
      <c r="F312" t="inlineStr">
        <is>
          <t>VÄSTERBOTTENS LÄN</t>
        </is>
      </c>
      <c r="G312" t="inlineStr">
        <is>
          <t>MALÅ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46251</v>
      </c>
      <c r="E313" s="1" t="n">
        <v>46252</v>
      </c>
      <c r="F313" t="inlineStr">
        <is>
          <t>VÄSTERBOTTENS LÄN</t>
        </is>
      </c>
      <c r="G313" t="inlineStr">
        <is>
          <t>MALÅ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46252</v>
      </c>
      <c r="F314" t="inlineStr">
        <is>
          <t>VÄSTERBOTTENS LÄN</t>
        </is>
      </c>
      <c r="G314" t="inlineStr">
        <is>
          <t>MALÅ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46252</v>
      </c>
      <c r="F315" t="inlineStr">
        <is>
          <t>VÄSTERBOTTENS LÄN</t>
        </is>
      </c>
      <c r="G315" t="inlineStr">
        <is>
          <t>MALÅ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46252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46252</v>
      </c>
      <c r="F317" t="inlineStr">
        <is>
          <t>VÄSTERBOTTENS LÄN</t>
        </is>
      </c>
      <c r="G317" t="inlineStr">
        <is>
          <t>MALÅ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46252</v>
      </c>
      <c r="F318" t="inlineStr">
        <is>
          <t>VÄSTERBOTTENS LÄN</t>
        </is>
      </c>
      <c r="G318" t="inlineStr">
        <is>
          <t>MALÅ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45719</v>
      </c>
      <c r="E319" s="1" t="n">
        <v>46252</v>
      </c>
      <c r="F319" t="inlineStr">
        <is>
          <t>VÄSTERBOTTENS LÄN</t>
        </is>
      </c>
      <c r="G319" t="inlineStr">
        <is>
          <t>MALÅ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45454</v>
      </c>
      <c r="E320" s="1" t="n">
        <v>46252</v>
      </c>
      <c r="F320" t="inlineStr">
        <is>
          <t>VÄSTERBOTTENS LÄN</t>
        </is>
      </c>
      <c r="G320" t="inlineStr">
        <is>
          <t>MALÅ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67383-2021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46252</v>
      </c>
      <c r="F321" t="inlineStr">
        <is>
          <t>VÄSTERBOTTENS LÄN</t>
        </is>
      </c>
      <c r="G321" t="inlineStr">
        <is>
          <t>MALÅ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46252</v>
      </c>
      <c r="F322" t="inlineStr">
        <is>
          <t>VÄSTERBOTTENS LÄN</t>
        </is>
      </c>
      <c r="G322" t="inlineStr">
        <is>
          <t>MALÅ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46252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46252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46989-2023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45201</v>
      </c>
      <c r="E325" s="1" t="n">
        <v>46252</v>
      </c>
      <c r="F325" t="inlineStr">
        <is>
          <t>VÄSTERBOTTENS LÄN</t>
        </is>
      </c>
      <c r="G325" t="inlineStr">
        <is>
          <t>MALÅ</t>
        </is>
      </c>
      <c r="I325" t="n">
        <v>22.9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45902</v>
      </c>
      <c r="E326" s="1" t="n">
        <v>46252</v>
      </c>
      <c r="F326" t="inlineStr">
        <is>
          <t>VÄSTERBOTTENS LÄN</t>
        </is>
      </c>
      <c r="G326" t="inlineStr">
        <is>
          <t>MALÅ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59801-2021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44491</v>
      </c>
      <c r="E327" s="1" t="n">
        <v>46252</v>
      </c>
      <c r="F327" t="inlineStr">
        <is>
          <t>VÄSTERBOTTENS LÄN</t>
        </is>
      </c>
      <c r="G327" t="inlineStr">
        <is>
          <t>MALÅ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46252</v>
      </c>
      <c r="F328" t="inlineStr">
        <is>
          <t>VÄSTERBOTTENS LÄN</t>
        </is>
      </c>
      <c r="G328" t="inlineStr">
        <is>
          <t>MALÅ</t>
        </is>
      </c>
      <c r="I328" t="n">
        <v>15.5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46252</v>
      </c>
      <c r="F329" t="inlineStr">
        <is>
          <t>VÄSTERBOTTENS LÄN</t>
        </is>
      </c>
      <c r="G329" t="inlineStr">
        <is>
          <t>MALÅ</t>
        </is>
      </c>
      <c r="I329" t="n">
        <v>16.6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30502-2026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46210</v>
      </c>
      <c r="E330" s="1" t="n">
        <v>46252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46252</v>
      </c>
      <c r="F331" t="inlineStr">
        <is>
          <t>VÄSTERBOTTENS LÄN</t>
        </is>
      </c>
      <c r="G331" t="inlineStr">
        <is>
          <t>MALÅ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46252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46252</v>
      </c>
      <c r="F333" t="inlineStr">
        <is>
          <t>VÄSTERBOTTENS LÄN</t>
        </is>
      </c>
      <c r="G333" t="inlineStr">
        <is>
          <t>MALÅ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45798</v>
      </c>
      <c r="E334" s="1" t="n">
        <v>46252</v>
      </c>
      <c r="F334" t="inlineStr">
        <is>
          <t>VÄSTERBOTTENS LÄN</t>
        </is>
      </c>
      <c r="G334" t="inlineStr">
        <is>
          <t>MALÅ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46252</v>
      </c>
      <c r="F335" t="inlineStr">
        <is>
          <t>VÄSTERBOTTENS LÄN</t>
        </is>
      </c>
      <c r="G335" t="inlineStr">
        <is>
          <t>MALÅ</t>
        </is>
      </c>
      <c r="I335" t="n">
        <v>10.5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44740</v>
      </c>
      <c r="E336" s="1" t="n">
        <v>46252</v>
      </c>
      <c r="F336" t="inlineStr">
        <is>
          <t>VÄSTERBOTTENS LÄN</t>
        </is>
      </c>
      <c r="G336" t="inlineStr">
        <is>
          <t>MALÅ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894-2022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44607</v>
      </c>
      <c r="E337" s="1" t="n">
        <v>46252</v>
      </c>
      <c r="F337" t="inlineStr">
        <is>
          <t>VÄSTERBOTTENS LÄN</t>
        </is>
      </c>
      <c r="G337" t="inlineStr">
        <is>
          <t>MALÅ</t>
        </is>
      </c>
      <c r="H337" t="inlineStr">
        <is>
          <t>SCA</t>
        </is>
      </c>
      <c r="I337" t="n">
        <v>86.3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2026-08-18T01:48:35Z</dcterms:created>
  <dcterms:modified xmlns:dcterms="http://purl.org/dc/terms/" xmlns:xsi="http://www.w3.org/2001/XMLSchema-instance" xsi:type="dcterms:W3CDTF">2026-08-18T01:48:35Z</dcterms:modified>
</cp:coreProperties>
</file>